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meratorinternational-my.sharepoint.com/personal/jacqueline_olicon_wp_numerator_com/Documents/Documentos/Administrativos/Marco Muestral 2026/"/>
    </mc:Choice>
  </mc:AlternateContent>
  <xr:revisionPtr revIDLastSave="0" documentId="8_{F2C0FB86-E772-4999-B2BA-08CD16E6BEE5}" xr6:coauthVersionLast="47" xr6:coauthVersionMax="47" xr10:uidLastSave="{00000000-0000-0000-0000-000000000000}"/>
  <bookViews>
    <workbookView xWindow="-110" yWindow="-110" windowWidth="19420" windowHeight="10300" tabRatio="930" xr2:uid="{CE9325A5-8127-4ED3-88AE-6EF37EE1D479}"/>
  </bookViews>
  <sheets>
    <sheet name="Dominicana" sheetId="13" r:id="rId1"/>
    <sheet name="Costa Rica" sheetId="1" r:id="rId2"/>
    <sheet name="El Salvador" sheetId="7" r:id="rId3"/>
    <sheet name="Guatemala" sheetId="9" r:id="rId4"/>
    <sheet name="Honduras" sheetId="8" r:id="rId5"/>
    <sheet name="Nicaragua" sheetId="10" r:id="rId6"/>
    <sheet name="Panamá" sheetId="11" r:id="rId7"/>
    <sheet name="Ecuador" sheetId="15" r:id="rId8"/>
    <sheet name="México" sheetId="1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6" l="1"/>
  <c r="M17" i="16"/>
  <c r="L17" i="16"/>
  <c r="K17" i="16"/>
  <c r="J17" i="16"/>
  <c r="I17" i="16"/>
  <c r="G17" i="16"/>
  <c r="F17" i="16"/>
  <c r="C17" i="16"/>
  <c r="C17" i="15"/>
  <c r="L17" i="15" l="1"/>
  <c r="K17" i="15"/>
  <c r="J17" i="15"/>
  <c r="I17" i="15"/>
  <c r="H17" i="15"/>
  <c r="G17" i="15"/>
  <c r="E17" i="15"/>
  <c r="D17" i="15"/>
  <c r="M10" i="13" l="1"/>
  <c r="L10" i="13"/>
  <c r="K10" i="13"/>
  <c r="J10" i="13"/>
  <c r="I10" i="13"/>
  <c r="H10" i="13"/>
  <c r="F10" i="13"/>
  <c r="E10" i="13"/>
  <c r="D10" i="13"/>
  <c r="C10" i="13"/>
  <c r="M9" i="11" l="1"/>
  <c r="L9" i="11"/>
  <c r="K9" i="11"/>
  <c r="J9" i="11"/>
  <c r="I9" i="11"/>
  <c r="H9" i="11"/>
  <c r="F9" i="11"/>
  <c r="E9" i="11"/>
  <c r="D9" i="11"/>
  <c r="C9" i="11"/>
  <c r="M9" i="10" l="1"/>
  <c r="L9" i="10"/>
  <c r="K9" i="10"/>
  <c r="J9" i="10"/>
  <c r="I9" i="10"/>
  <c r="H9" i="10"/>
  <c r="F9" i="10"/>
  <c r="E9" i="10"/>
  <c r="D9" i="10"/>
  <c r="C9" i="10"/>
  <c r="M10" i="9" l="1"/>
  <c r="L10" i="9"/>
  <c r="K10" i="9"/>
  <c r="J10" i="9"/>
  <c r="I10" i="9"/>
  <c r="H10" i="9"/>
  <c r="F10" i="9"/>
  <c r="E10" i="9"/>
  <c r="D10" i="9"/>
  <c r="C10" i="9"/>
  <c r="M10" i="8" l="1"/>
  <c r="L10" i="8"/>
  <c r="K10" i="8"/>
  <c r="J10" i="8"/>
  <c r="I10" i="8"/>
  <c r="H10" i="8"/>
  <c r="F10" i="8"/>
  <c r="E10" i="8"/>
  <c r="D10" i="8"/>
  <c r="C10" i="8"/>
  <c r="M10" i="7" l="1"/>
  <c r="L10" i="7"/>
  <c r="K10" i="7"/>
  <c r="J10" i="7"/>
  <c r="I10" i="7"/>
  <c r="H10" i="7"/>
  <c r="F10" i="7"/>
  <c r="E10" i="7"/>
  <c r="D10" i="7"/>
  <c r="C10" i="7"/>
  <c r="C10" i="1" l="1"/>
  <c r="M10" i="1"/>
  <c r="L10" i="1"/>
  <c r="K10" i="1"/>
  <c r="J10" i="1"/>
  <c r="I10" i="1"/>
  <c r="H10" i="1"/>
  <c r="F10" i="1"/>
  <c r="E10" i="1"/>
  <c r="D10" i="1"/>
</calcChain>
</file>

<file path=xl/sharedStrings.xml><?xml version="1.0" encoding="utf-8"?>
<sst xmlns="http://schemas.openxmlformats.org/spreadsheetml/2006/main" count="195" uniqueCount="91">
  <si>
    <t>NSE</t>
  </si>
  <si>
    <t>Edad</t>
  </si>
  <si>
    <t>Integrantes</t>
  </si>
  <si>
    <t>DE</t>
  </si>
  <si>
    <t>50+</t>
  </si>
  <si>
    <t>1 a 2</t>
  </si>
  <si>
    <t>3 a 4</t>
  </si>
  <si>
    <t>5+</t>
  </si>
  <si>
    <t>Total general</t>
  </si>
  <si>
    <t>Area metropolitana I / Costa Rica</t>
  </si>
  <si>
    <t>Area metropolitana II / Costa Rica</t>
  </si>
  <si>
    <t>Area metropolitana III / Costa Rica</t>
  </si>
  <si>
    <t>Norte / Costa Rica</t>
  </si>
  <si>
    <t>Sur occidente / Costa Rica</t>
  </si>
  <si>
    <t>SCL1</t>
  </si>
  <si>
    <t>SCL2</t>
  </si>
  <si>
    <t>SCL3</t>
  </si>
  <si>
    <t>SCL4</t>
  </si>
  <si>
    <t>Hasta 34</t>
  </si>
  <si>
    <t>35 a 49</t>
  </si>
  <si>
    <t>Costa Rica</t>
  </si>
  <si>
    <t>El Salvador</t>
  </si>
  <si>
    <t>AMG / Guatemala</t>
  </si>
  <si>
    <t>Nororiente / Guatemala</t>
  </si>
  <si>
    <t>Resto Centro / Guatemala</t>
  </si>
  <si>
    <t>Sur Occidente Chico / Guatemala</t>
  </si>
  <si>
    <t>Sur Occidente Grande / Guatemala</t>
  </si>
  <si>
    <t>Guatemala</t>
  </si>
  <si>
    <t>Centro I / Honduras</t>
  </si>
  <si>
    <t>Centro II / Honduras</t>
  </si>
  <si>
    <t>Nor Occidente I / Honduras</t>
  </si>
  <si>
    <t>Nor Occidente II / Honduras</t>
  </si>
  <si>
    <t>Sur Oriente / Honduras</t>
  </si>
  <si>
    <t>Honduras</t>
  </si>
  <si>
    <t>Norcentral / NICARAGUA</t>
  </si>
  <si>
    <t>Occidente / Nicaragua</t>
  </si>
  <si>
    <t>Sur I / Nicaragua</t>
  </si>
  <si>
    <t>Sur II / Nicaragua</t>
  </si>
  <si>
    <t>Nicaragua</t>
  </si>
  <si>
    <t>Centro I / Panama</t>
  </si>
  <si>
    <t>Centro II / Panama</t>
  </si>
  <si>
    <t>Norte / Panama</t>
  </si>
  <si>
    <t>Occidente / PANAMA</t>
  </si>
  <si>
    <t>Panamá</t>
  </si>
  <si>
    <t>CENTRO</t>
  </si>
  <si>
    <t>Cibao Sin Santiago / Rep Dominicana</t>
  </si>
  <si>
    <t>Santiago / Rep Dominicana</t>
  </si>
  <si>
    <t>Sd + Dn / Rep Dominicana</t>
  </si>
  <si>
    <t>Sureste Sin (Sd + Dn) / Rep Dominicana</t>
  </si>
  <si>
    <t>Suroeste / Rep Dominicana</t>
  </si>
  <si>
    <t>SCL 1</t>
  </si>
  <si>
    <t>SCL 2</t>
  </si>
  <si>
    <t>SCL 3</t>
  </si>
  <si>
    <t>SCL 4</t>
  </si>
  <si>
    <t>Republica Dominicana</t>
  </si>
  <si>
    <t>COSTA NORTE</t>
  </si>
  <si>
    <t>COSTA SUR</t>
  </si>
  <si>
    <t>CUENCA</t>
  </si>
  <si>
    <t>GUAYAQUIL ZONA NORTE</t>
  </si>
  <si>
    <t>GUAYAQUIL ZONA SUR</t>
  </si>
  <si>
    <t>MANTA-PORTOVIEJO</t>
  </si>
  <si>
    <t>QUITO ZONA NORTE</t>
  </si>
  <si>
    <t>QUITO ZONA SUR</t>
  </si>
  <si>
    <t>RESTO SIERRA</t>
  </si>
  <si>
    <t>SANTO DOMINGO</t>
  </si>
  <si>
    <t>ZONA PERIFERIA GYE</t>
  </si>
  <si>
    <t>ZONA PERIFERIAS/VALLES</t>
  </si>
  <si>
    <t>AB</t>
  </si>
  <si>
    <t>C</t>
  </si>
  <si>
    <t>Ecuador</t>
  </si>
  <si>
    <t>C+</t>
  </si>
  <si>
    <t>D+</t>
  </si>
  <si>
    <t>D/E</t>
  </si>
  <si>
    <t>AMCM</t>
  </si>
  <si>
    <t>GUADALAJARA</t>
  </si>
  <si>
    <t>LEON</t>
  </si>
  <si>
    <t>MERIDA</t>
  </si>
  <si>
    <t>MONTERREY</t>
  </si>
  <si>
    <t>Noreste</t>
  </si>
  <si>
    <t>NOROESTE</t>
  </si>
  <si>
    <t>OCCIDENTE</t>
  </si>
  <si>
    <t>PUEBLA</t>
  </si>
  <si>
    <t>SURESTE</t>
  </si>
  <si>
    <t>TIJUANA</t>
  </si>
  <si>
    <t>México</t>
  </si>
  <si>
    <t>Embarazadas y bebés Hasta 36 m</t>
  </si>
  <si>
    <t>CENTRO I / El Salvador</t>
  </si>
  <si>
    <t>CENTRO II / El Salvador</t>
  </si>
  <si>
    <t>CENTRO III / El Salvador</t>
  </si>
  <si>
    <t>Nor oriente / El Salvador</t>
  </si>
  <si>
    <t>OCCIDENTE / El Salvador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</si>
</sst>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name val="Aptos Narrow"/>
      <family val="2"/>
    </font>
    <font>
      <sz val="9"/>
      <color theme="1"/>
      <name val="Aptos Narrow"/>
      <family val="2"/>
    </font>
    <font>
      <b/>
      <sz val="11"/>
      <name val="Aptos Narrow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1" fillId="0" borderId="1" xfId="0" applyFont="1" applyBorder="1"/>
    <xf numFmtId="1" fontId="1" fillId="0" borderId="2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3" fontId="1" fillId="0" borderId="13" xfId="0" applyNumberFormat="1" applyFont="1" applyBorder="1" applyAlignment="1">
      <alignment horizontal="center"/>
    </xf>
    <xf numFmtId="3" fontId="1" fillId="0" borderId="14" xfId="0" applyNumberFormat="1" applyFont="1" applyBorder="1" applyAlignment="1">
      <alignment horizontal="center"/>
    </xf>
    <xf numFmtId="3" fontId="1" fillId="0" borderId="15" xfId="0" applyNumberFormat="1" applyFont="1" applyBorder="1" applyAlignment="1">
      <alignment horizontal="center"/>
    </xf>
    <xf numFmtId="3" fontId="1" fillId="0" borderId="16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3" fontId="1" fillId="0" borderId="4" xfId="0" applyNumberFormat="1" applyFont="1" applyBorder="1" applyAlignment="1">
      <alignment horizontal="center"/>
    </xf>
    <xf numFmtId="3" fontId="1" fillId="0" borderId="5" xfId="0" applyNumberFormat="1" applyFont="1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3" fontId="1" fillId="0" borderId="8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1" fillId="0" borderId="17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3" fontId="1" fillId="0" borderId="19" xfId="0" applyNumberFormat="1" applyFont="1" applyBorder="1" applyAlignment="1">
      <alignment horizontal="center"/>
    </xf>
    <xf numFmtId="3" fontId="1" fillId="0" borderId="17" xfId="0" applyNumberFormat="1" applyFont="1" applyBorder="1" applyAlignment="1">
      <alignment horizontal="center"/>
    </xf>
    <xf numFmtId="3" fontId="1" fillId="0" borderId="18" xfId="0" applyNumberFormat="1" applyFont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1" fontId="1" fillId="0" borderId="22" xfId="0" applyNumberFormat="1" applyFont="1" applyBorder="1" applyAlignment="1">
      <alignment horizontal="center"/>
    </xf>
    <xf numFmtId="1" fontId="1" fillId="0" borderId="23" xfId="0" applyNumberFormat="1" applyFont="1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24" xfId="0" applyFont="1" applyFill="1" applyBorder="1" applyAlignment="1">
      <alignment horizontal="center" vertical="center"/>
    </xf>
    <xf numFmtId="1" fontId="1" fillId="0" borderId="25" xfId="0" applyNumberFormat="1" applyFont="1" applyBorder="1" applyAlignment="1">
      <alignment horizontal="center"/>
    </xf>
    <xf numFmtId="1" fontId="1" fillId="0" borderId="26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1" fillId="0" borderId="27" xfId="0" applyNumberFormat="1" applyFont="1" applyBorder="1" applyAlignment="1">
      <alignment horizontal="center"/>
    </xf>
    <xf numFmtId="3" fontId="1" fillId="0" borderId="26" xfId="0" applyNumberFormat="1" applyFont="1" applyBorder="1" applyAlignment="1">
      <alignment horizontal="center"/>
    </xf>
    <xf numFmtId="0" fontId="1" fillId="4" borderId="21" xfId="0" applyFont="1" applyFill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/>
    </xf>
    <xf numFmtId="1" fontId="1" fillId="0" borderId="14" xfId="0" applyNumberFormat="1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1" fontId="1" fillId="0" borderId="27" xfId="0" applyNumberFormat="1" applyFont="1" applyBorder="1" applyAlignment="1">
      <alignment horizontal="center"/>
    </xf>
    <xf numFmtId="1" fontId="1" fillId="0" borderId="16" xfId="0" applyNumberFormat="1" applyFont="1" applyBorder="1" applyAlignment="1">
      <alignment horizontal="center"/>
    </xf>
    <xf numFmtId="1" fontId="1" fillId="0" borderId="19" xfId="0" applyNumberFormat="1" applyFont="1" applyBorder="1" applyAlignment="1">
      <alignment horizontal="center"/>
    </xf>
    <xf numFmtId="1" fontId="1" fillId="0" borderId="28" xfId="0" applyNumberFormat="1" applyFont="1" applyBorder="1" applyAlignment="1">
      <alignment horizontal="center"/>
    </xf>
    <xf numFmtId="0" fontId="1" fillId="3" borderId="12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0">
    <dxf>
      <font>
        <b val="0"/>
        <i val="0"/>
        <color rgb="FFFF0000"/>
      </font>
      <fill>
        <patternFill>
          <bgColor theme="0" tint="-4.9989318521683403E-2"/>
        </patternFill>
      </fill>
    </dxf>
    <dxf>
      <font>
        <b val="0"/>
        <i val="0"/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b val="0"/>
        <i val="0"/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EF49D-A0A2-492C-B17C-C321952DB1DC}">
  <dimension ref="B2:M10"/>
  <sheetViews>
    <sheetView tabSelected="1" workbookViewId="0">
      <selection activeCell="J13" sqref="J13"/>
    </sheetView>
  </sheetViews>
  <sheetFormatPr baseColWidth="10" defaultRowHeight="14.5" x14ac:dyDescent="0.35"/>
  <cols>
    <col min="1" max="1" width="2.453125" customWidth="1"/>
    <col min="2" max="2" width="26.1796875" bestFit="1" customWidth="1"/>
    <col min="3" max="6" width="5" customWidth="1"/>
    <col min="7" max="7" width="9.54296875" customWidth="1"/>
    <col min="8" max="8" width="6.6328125" bestFit="1" customWidth="1"/>
    <col min="9" max="9" width="5.453125" bestFit="1" customWidth="1"/>
    <col min="10" max="10" width="3.81640625" bestFit="1" customWidth="1"/>
    <col min="11" max="13" width="4.54296875" customWidth="1"/>
  </cols>
  <sheetData>
    <row r="2" spans="2:13" x14ac:dyDescent="0.35">
      <c r="C2" s="66" t="s">
        <v>54</v>
      </c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2:13" ht="15" thickBot="1" x14ac:dyDescent="0.4">
      <c r="B3" s="1"/>
      <c r="C3" s="67" t="s">
        <v>0</v>
      </c>
      <c r="D3" s="67"/>
      <c r="E3" s="67"/>
      <c r="F3" s="67"/>
      <c r="G3" s="27"/>
      <c r="H3" s="67" t="s">
        <v>1</v>
      </c>
      <c r="I3" s="67"/>
      <c r="J3" s="67"/>
      <c r="K3" s="67" t="s">
        <v>2</v>
      </c>
      <c r="L3" s="67"/>
      <c r="M3" s="67"/>
    </row>
    <row r="4" spans="2:13" ht="36.5" thickBot="1" x14ac:dyDescent="0.4">
      <c r="B4" s="1"/>
      <c r="C4" s="31" t="s">
        <v>50</v>
      </c>
      <c r="D4" s="35" t="s">
        <v>51</v>
      </c>
      <c r="E4" s="35" t="s">
        <v>52</v>
      </c>
      <c r="F4" s="36" t="s">
        <v>53</v>
      </c>
      <c r="G4" s="63" t="s">
        <v>85</v>
      </c>
      <c r="H4" s="37" t="s">
        <v>18</v>
      </c>
      <c r="I4" s="38" t="s">
        <v>19</v>
      </c>
      <c r="J4" s="39" t="s">
        <v>4</v>
      </c>
      <c r="K4" s="40" t="s">
        <v>5</v>
      </c>
      <c r="L4" s="41" t="s">
        <v>6</v>
      </c>
      <c r="M4" s="42" t="s">
        <v>7</v>
      </c>
    </row>
    <row r="5" spans="2:13" x14ac:dyDescent="0.35">
      <c r="B5" s="2" t="s">
        <v>45</v>
      </c>
      <c r="C5" s="11">
        <v>0</v>
      </c>
      <c r="D5" s="12">
        <v>40</v>
      </c>
      <c r="E5" s="12">
        <v>24</v>
      </c>
      <c r="F5" s="13">
        <v>0</v>
      </c>
      <c r="G5" s="59"/>
      <c r="H5" s="11">
        <v>0</v>
      </c>
      <c r="I5" s="12">
        <v>19</v>
      </c>
      <c r="J5" s="13">
        <v>35</v>
      </c>
      <c r="K5" s="11">
        <v>23</v>
      </c>
      <c r="L5" s="12">
        <v>0</v>
      </c>
      <c r="M5" s="14">
        <v>33</v>
      </c>
    </row>
    <row r="6" spans="2:13" x14ac:dyDescent="0.35">
      <c r="B6" s="2" t="s">
        <v>46</v>
      </c>
      <c r="C6" s="11">
        <v>0</v>
      </c>
      <c r="D6" s="12">
        <v>40</v>
      </c>
      <c r="E6" s="12">
        <v>14</v>
      </c>
      <c r="F6" s="13">
        <v>0</v>
      </c>
      <c r="G6" s="33"/>
      <c r="H6" s="11">
        <v>0</v>
      </c>
      <c r="I6" s="12">
        <v>23</v>
      </c>
      <c r="J6" s="13">
        <v>32</v>
      </c>
      <c r="K6" s="11">
        <v>16</v>
      </c>
      <c r="L6" s="12">
        <v>0</v>
      </c>
      <c r="M6" s="14">
        <v>16</v>
      </c>
    </row>
    <row r="7" spans="2:13" x14ac:dyDescent="0.35">
      <c r="B7" s="2" t="s">
        <v>47</v>
      </c>
      <c r="C7" s="11">
        <v>0</v>
      </c>
      <c r="D7" s="12">
        <v>9</v>
      </c>
      <c r="E7" s="12">
        <v>28</v>
      </c>
      <c r="F7" s="13">
        <v>4</v>
      </c>
      <c r="G7" s="33"/>
      <c r="H7" s="11">
        <v>7</v>
      </c>
      <c r="I7" s="12">
        <v>0</v>
      </c>
      <c r="J7" s="13">
        <v>26</v>
      </c>
      <c r="K7" s="11">
        <v>24</v>
      </c>
      <c r="L7" s="12">
        <v>0</v>
      </c>
      <c r="M7" s="14">
        <v>16</v>
      </c>
    </row>
    <row r="8" spans="2:13" x14ac:dyDescent="0.35">
      <c r="B8" s="2" t="s">
        <v>48</v>
      </c>
      <c r="C8" s="11">
        <v>0</v>
      </c>
      <c r="D8" s="12">
        <v>15</v>
      </c>
      <c r="E8" s="12">
        <v>10</v>
      </c>
      <c r="F8" s="13">
        <v>2</v>
      </c>
      <c r="G8" s="33"/>
      <c r="H8" s="11">
        <v>10</v>
      </c>
      <c r="I8" s="12">
        <v>0</v>
      </c>
      <c r="J8" s="13">
        <v>12</v>
      </c>
      <c r="K8" s="11">
        <v>16</v>
      </c>
      <c r="L8" s="12">
        <v>0</v>
      </c>
      <c r="M8" s="14">
        <v>8</v>
      </c>
    </row>
    <row r="9" spans="2:13" ht="15" thickBot="1" x14ac:dyDescent="0.4">
      <c r="B9" s="2" t="s">
        <v>49</v>
      </c>
      <c r="C9" s="18">
        <v>0</v>
      </c>
      <c r="D9" s="19">
        <v>30</v>
      </c>
      <c r="E9" s="19">
        <v>34</v>
      </c>
      <c r="F9" s="20">
        <v>15</v>
      </c>
      <c r="G9" s="34"/>
      <c r="H9" s="18">
        <v>1</v>
      </c>
      <c r="I9" s="19">
        <v>17</v>
      </c>
      <c r="J9" s="20">
        <v>52</v>
      </c>
      <c r="K9" s="18">
        <v>34</v>
      </c>
      <c r="L9" s="19">
        <v>2</v>
      </c>
      <c r="M9" s="21">
        <v>34</v>
      </c>
    </row>
    <row r="10" spans="2:13" x14ac:dyDescent="0.35">
      <c r="B10" s="1" t="s">
        <v>8</v>
      </c>
      <c r="C10" s="22">
        <f>SUM(C5:C9)</f>
        <v>0</v>
      </c>
      <c r="D10" s="22">
        <f>SUM(D5:D9)</f>
        <v>134</v>
      </c>
      <c r="E10" s="22">
        <f>SUM(E5:E9)</f>
        <v>110</v>
      </c>
      <c r="F10" s="22">
        <f>SUM(F5:F9)</f>
        <v>21</v>
      </c>
      <c r="G10" s="22"/>
      <c r="H10" s="22">
        <f t="shared" ref="H10:M10" si="0">SUM(H5:H9)</f>
        <v>18</v>
      </c>
      <c r="I10" s="22">
        <f t="shared" si="0"/>
        <v>59</v>
      </c>
      <c r="J10" s="22">
        <f t="shared" si="0"/>
        <v>157</v>
      </c>
      <c r="K10" s="23">
        <f t="shared" si="0"/>
        <v>113</v>
      </c>
      <c r="L10" s="23">
        <f t="shared" si="0"/>
        <v>2</v>
      </c>
      <c r="M10" s="23">
        <f t="shared" si="0"/>
        <v>107</v>
      </c>
    </row>
  </sheetData>
  <mergeCells count="4">
    <mergeCell ref="C2:M2"/>
    <mergeCell ref="C3:F3"/>
    <mergeCell ref="H3:J3"/>
    <mergeCell ref="K3:M3"/>
  </mergeCells>
  <conditionalFormatting sqref="C5:F9 H5:M9">
    <cfRule type="cellIs" dxfId="9" priority="3" operator="equal">
      <formula>0</formula>
    </cfRule>
  </conditionalFormatting>
  <conditionalFormatting sqref="G5:G9">
    <cfRule type="cellIs" dxfId="8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39F78-3943-4619-9B41-1FB196E62769}">
  <dimension ref="B2:M10"/>
  <sheetViews>
    <sheetView workbookViewId="0">
      <selection activeCell="J12" sqref="J12"/>
    </sheetView>
  </sheetViews>
  <sheetFormatPr baseColWidth="10" defaultRowHeight="14.5" x14ac:dyDescent="0.35"/>
  <cols>
    <col min="1" max="1" width="2.1796875" customWidth="1"/>
    <col min="2" max="2" width="23" bestFit="1" customWidth="1"/>
    <col min="3" max="5" width="4.1796875" bestFit="1" customWidth="1"/>
    <col min="6" max="6" width="4.453125" bestFit="1" customWidth="1"/>
    <col min="7" max="7" width="9.54296875" customWidth="1"/>
    <col min="8" max="8" width="6.6328125" bestFit="1" customWidth="1"/>
    <col min="9" max="9" width="5.453125" bestFit="1" customWidth="1"/>
    <col min="10" max="13" width="4.81640625" bestFit="1" customWidth="1"/>
  </cols>
  <sheetData>
    <row r="2" spans="2:13" x14ac:dyDescent="0.35">
      <c r="C2" s="66" t="s">
        <v>20</v>
      </c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2:13" ht="15" thickBot="1" x14ac:dyDescent="0.4">
      <c r="B3" s="1"/>
      <c r="C3" s="67" t="s">
        <v>0</v>
      </c>
      <c r="D3" s="67"/>
      <c r="E3" s="67"/>
      <c r="F3" s="67"/>
      <c r="G3" s="27"/>
      <c r="H3" s="67" t="s">
        <v>1</v>
      </c>
      <c r="I3" s="67"/>
      <c r="J3" s="67"/>
      <c r="K3" s="67" t="s">
        <v>2</v>
      </c>
      <c r="L3" s="67"/>
      <c r="M3" s="67"/>
    </row>
    <row r="4" spans="2:13" ht="36.5" thickBot="1" x14ac:dyDescent="0.4">
      <c r="B4" s="1"/>
      <c r="C4" s="31" t="s">
        <v>14</v>
      </c>
      <c r="D4" s="31" t="s">
        <v>15</v>
      </c>
      <c r="E4" s="31" t="s">
        <v>16</v>
      </c>
      <c r="F4" s="32" t="s">
        <v>17</v>
      </c>
      <c r="G4" s="63" t="s">
        <v>85</v>
      </c>
      <c r="H4" s="37" t="s">
        <v>18</v>
      </c>
      <c r="I4" s="38" t="s">
        <v>19</v>
      </c>
      <c r="J4" s="60" t="s">
        <v>4</v>
      </c>
      <c r="K4" s="61" t="s">
        <v>5</v>
      </c>
      <c r="L4" s="41" t="s">
        <v>6</v>
      </c>
      <c r="M4" s="42" t="s">
        <v>7</v>
      </c>
    </row>
    <row r="5" spans="2:13" x14ac:dyDescent="0.35">
      <c r="B5" s="2" t="s">
        <v>9</v>
      </c>
      <c r="C5" s="53">
        <v>10</v>
      </c>
      <c r="D5" s="54">
        <v>13</v>
      </c>
      <c r="E5" s="54">
        <v>0</v>
      </c>
      <c r="F5" s="54">
        <v>38</v>
      </c>
      <c r="G5" s="59"/>
      <c r="H5" s="53">
        <v>54</v>
      </c>
      <c r="I5" s="54">
        <v>0</v>
      </c>
      <c r="J5" s="57">
        <v>0</v>
      </c>
      <c r="K5" s="58">
        <v>20</v>
      </c>
      <c r="L5" s="54">
        <v>14</v>
      </c>
      <c r="M5" s="57">
        <v>18</v>
      </c>
    </row>
    <row r="6" spans="2:13" x14ac:dyDescent="0.35">
      <c r="B6" s="2" t="s">
        <v>10</v>
      </c>
      <c r="C6" s="3">
        <v>16</v>
      </c>
      <c r="D6" s="4">
        <v>6</v>
      </c>
      <c r="E6" s="4">
        <v>6</v>
      </c>
      <c r="F6" s="4">
        <v>27</v>
      </c>
      <c r="G6" s="33"/>
      <c r="H6" s="3">
        <v>45</v>
      </c>
      <c r="I6" s="4">
        <v>0</v>
      </c>
      <c r="J6" s="6">
        <v>24</v>
      </c>
      <c r="K6" s="24">
        <v>16</v>
      </c>
      <c r="L6" s="4">
        <v>15</v>
      </c>
      <c r="M6" s="6">
        <v>24</v>
      </c>
    </row>
    <row r="7" spans="2:13" x14ac:dyDescent="0.35">
      <c r="B7" s="2" t="s">
        <v>11</v>
      </c>
      <c r="C7" s="3">
        <v>0</v>
      </c>
      <c r="D7" s="4">
        <v>1</v>
      </c>
      <c r="E7" s="4">
        <v>11</v>
      </c>
      <c r="F7" s="4">
        <v>32</v>
      </c>
      <c r="G7" s="33"/>
      <c r="H7" s="3">
        <v>33</v>
      </c>
      <c r="I7" s="4">
        <v>0</v>
      </c>
      <c r="J7" s="6">
        <v>12</v>
      </c>
      <c r="K7" s="24">
        <v>52</v>
      </c>
      <c r="L7" s="4">
        <v>0</v>
      </c>
      <c r="M7" s="6">
        <v>4</v>
      </c>
    </row>
    <row r="8" spans="2:13" x14ac:dyDescent="0.35">
      <c r="B8" s="2" t="s">
        <v>12</v>
      </c>
      <c r="C8" s="3">
        <v>30</v>
      </c>
      <c r="D8" s="4">
        <v>20</v>
      </c>
      <c r="E8" s="4">
        <v>15</v>
      </c>
      <c r="F8" s="4">
        <v>35</v>
      </c>
      <c r="G8" s="33"/>
      <c r="H8" s="3">
        <v>35</v>
      </c>
      <c r="I8" s="4">
        <v>35</v>
      </c>
      <c r="J8" s="6">
        <v>30</v>
      </c>
      <c r="K8" s="24">
        <v>28</v>
      </c>
      <c r="L8" s="4">
        <v>43</v>
      </c>
      <c r="M8" s="6">
        <v>29</v>
      </c>
    </row>
    <row r="9" spans="2:13" ht="15" thickBot="1" x14ac:dyDescent="0.4">
      <c r="B9" s="2" t="s">
        <v>13</v>
      </c>
      <c r="C9" s="7">
        <v>18</v>
      </c>
      <c r="D9" s="8">
        <v>19</v>
      </c>
      <c r="E9" s="8">
        <v>30</v>
      </c>
      <c r="F9" s="8">
        <v>71</v>
      </c>
      <c r="G9" s="34"/>
      <c r="H9" s="7">
        <v>50</v>
      </c>
      <c r="I9" s="8">
        <v>27</v>
      </c>
      <c r="J9" s="10">
        <v>61</v>
      </c>
      <c r="K9" s="25">
        <v>42</v>
      </c>
      <c r="L9" s="8">
        <v>58</v>
      </c>
      <c r="M9" s="10">
        <v>38</v>
      </c>
    </row>
    <row r="10" spans="2:13" x14ac:dyDescent="0.35">
      <c r="C10" s="26">
        <f>SUM(C5:C9)</f>
        <v>74</v>
      </c>
      <c r="D10" s="26">
        <f>SUM(D5:D9)</f>
        <v>59</v>
      </c>
      <c r="E10" s="26">
        <f>SUM(E5:E9)</f>
        <v>62</v>
      </c>
      <c r="F10" s="26">
        <f>SUM(F5:F9)</f>
        <v>203</v>
      </c>
      <c r="G10" s="26"/>
      <c r="H10" s="26">
        <f t="shared" ref="H10:M10" si="0">SUM(H5:H9)</f>
        <v>217</v>
      </c>
      <c r="I10" s="26">
        <f t="shared" si="0"/>
        <v>62</v>
      </c>
      <c r="J10" s="26">
        <f t="shared" si="0"/>
        <v>127</v>
      </c>
      <c r="K10" s="26">
        <f t="shared" si="0"/>
        <v>158</v>
      </c>
      <c r="L10" s="26">
        <f t="shared" si="0"/>
        <v>130</v>
      </c>
      <c r="M10" s="26">
        <f t="shared" si="0"/>
        <v>113</v>
      </c>
    </row>
  </sheetData>
  <mergeCells count="4">
    <mergeCell ref="C3:F3"/>
    <mergeCell ref="H3:J3"/>
    <mergeCell ref="K3:M3"/>
    <mergeCell ref="C2:M2"/>
  </mergeCells>
  <phoneticPr fontId="4" type="noConversion"/>
  <conditionalFormatting sqref="C5:M9">
    <cfRule type="cellIs" dxfId="7" priority="3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C826D-0FB3-41DC-BA89-C28309E9964A}">
  <dimension ref="B2:M10"/>
  <sheetViews>
    <sheetView workbookViewId="0">
      <selection activeCell="I13" sqref="I13"/>
    </sheetView>
  </sheetViews>
  <sheetFormatPr baseColWidth="10" defaultRowHeight="14.5" x14ac:dyDescent="0.35"/>
  <cols>
    <col min="1" max="1" width="2.1796875" customWidth="1"/>
    <col min="2" max="2" width="23" bestFit="1" customWidth="1"/>
    <col min="3" max="5" width="4.1796875" bestFit="1" customWidth="1"/>
    <col min="6" max="6" width="4.453125" bestFit="1" customWidth="1"/>
    <col min="7" max="7" width="9.54296875" customWidth="1"/>
    <col min="8" max="8" width="6.6328125" bestFit="1" customWidth="1"/>
    <col min="9" max="9" width="5.453125" bestFit="1" customWidth="1"/>
    <col min="10" max="13" width="4.81640625" bestFit="1" customWidth="1"/>
  </cols>
  <sheetData>
    <row r="2" spans="2:13" x14ac:dyDescent="0.35">
      <c r="C2" s="66" t="s">
        <v>21</v>
      </c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2:13" ht="15" thickBot="1" x14ac:dyDescent="0.4">
      <c r="B3" s="1"/>
      <c r="C3" s="67" t="s">
        <v>0</v>
      </c>
      <c r="D3" s="67"/>
      <c r="E3" s="67"/>
      <c r="F3" s="67"/>
      <c r="G3" s="27"/>
      <c r="H3" s="67" t="s">
        <v>1</v>
      </c>
      <c r="I3" s="67"/>
      <c r="J3" s="67"/>
      <c r="K3" s="67" t="s">
        <v>2</v>
      </c>
      <c r="L3" s="67"/>
      <c r="M3" s="67"/>
    </row>
    <row r="4" spans="2:13" s="44" customFormat="1" ht="36.5" thickBot="1" x14ac:dyDescent="0.4">
      <c r="B4" s="43"/>
      <c r="C4" s="31" t="s">
        <v>14</v>
      </c>
      <c r="D4" s="31" t="s">
        <v>15</v>
      </c>
      <c r="E4" s="31" t="s">
        <v>16</v>
      </c>
      <c r="F4" s="45" t="s">
        <v>17</v>
      </c>
      <c r="G4" s="52" t="s">
        <v>85</v>
      </c>
      <c r="H4" s="37" t="s">
        <v>18</v>
      </c>
      <c r="I4" s="38" t="s">
        <v>19</v>
      </c>
      <c r="J4" s="60" t="s">
        <v>4</v>
      </c>
      <c r="K4" s="61" t="s">
        <v>5</v>
      </c>
      <c r="L4" s="41" t="s">
        <v>6</v>
      </c>
      <c r="M4" s="42" t="s">
        <v>7</v>
      </c>
    </row>
    <row r="5" spans="2:13" x14ac:dyDescent="0.35">
      <c r="B5" s="2" t="s">
        <v>86</v>
      </c>
      <c r="C5" s="53">
        <v>0</v>
      </c>
      <c r="D5" s="54">
        <v>0</v>
      </c>
      <c r="E5" s="54">
        <v>0</v>
      </c>
      <c r="F5" s="55">
        <v>24</v>
      </c>
      <c r="G5" s="56"/>
      <c r="H5" s="53">
        <v>0</v>
      </c>
      <c r="I5" s="54">
        <v>0</v>
      </c>
      <c r="J5" s="57">
        <v>0</v>
      </c>
      <c r="K5" s="58">
        <v>0</v>
      </c>
      <c r="L5" s="54">
        <v>0</v>
      </c>
      <c r="M5" s="57">
        <v>0</v>
      </c>
    </row>
    <row r="6" spans="2:13" x14ac:dyDescent="0.35">
      <c r="B6" s="2" t="s">
        <v>87</v>
      </c>
      <c r="C6" s="3">
        <v>0</v>
      </c>
      <c r="D6" s="4">
        <v>5</v>
      </c>
      <c r="E6" s="4">
        <v>0</v>
      </c>
      <c r="F6" s="5">
        <v>20</v>
      </c>
      <c r="G6" s="46"/>
      <c r="H6" s="3">
        <v>0</v>
      </c>
      <c r="I6" s="4">
        <v>0</v>
      </c>
      <c r="J6" s="6">
        <v>9</v>
      </c>
      <c r="K6" s="24">
        <v>0</v>
      </c>
      <c r="L6" s="4">
        <v>0</v>
      </c>
      <c r="M6" s="6">
        <v>9</v>
      </c>
    </row>
    <row r="7" spans="2:13" x14ac:dyDescent="0.35">
      <c r="B7" s="2" t="s">
        <v>88</v>
      </c>
      <c r="C7" s="3">
        <v>0</v>
      </c>
      <c r="D7" s="4">
        <v>11</v>
      </c>
      <c r="E7" s="4">
        <v>0</v>
      </c>
      <c r="F7" s="5">
        <v>13</v>
      </c>
      <c r="G7" s="46"/>
      <c r="H7" s="3">
        <v>13</v>
      </c>
      <c r="I7" s="4">
        <v>0</v>
      </c>
      <c r="J7" s="6">
        <v>6</v>
      </c>
      <c r="K7" s="24">
        <v>7</v>
      </c>
      <c r="L7" s="4">
        <v>0</v>
      </c>
      <c r="M7" s="6">
        <v>14</v>
      </c>
    </row>
    <row r="8" spans="2:13" x14ac:dyDescent="0.35">
      <c r="B8" s="2" t="s">
        <v>89</v>
      </c>
      <c r="C8" s="3">
        <v>24</v>
      </c>
      <c r="D8" s="4">
        <v>13</v>
      </c>
      <c r="E8" s="4">
        <v>0</v>
      </c>
      <c r="F8" s="5">
        <v>39</v>
      </c>
      <c r="G8" s="46"/>
      <c r="H8" s="3">
        <v>32</v>
      </c>
      <c r="I8" s="4">
        <v>13</v>
      </c>
      <c r="J8" s="6">
        <v>30</v>
      </c>
      <c r="K8" s="24">
        <v>30</v>
      </c>
      <c r="L8" s="4">
        <v>29</v>
      </c>
      <c r="M8" s="6">
        <v>16</v>
      </c>
    </row>
    <row r="9" spans="2:13" ht="15" thickBot="1" x14ac:dyDescent="0.4">
      <c r="B9" s="2" t="s">
        <v>90</v>
      </c>
      <c r="C9" s="7">
        <v>13</v>
      </c>
      <c r="D9" s="8">
        <v>23</v>
      </c>
      <c r="E9" s="8">
        <v>3</v>
      </c>
      <c r="F9" s="9">
        <v>50</v>
      </c>
      <c r="G9" s="47"/>
      <c r="H9" s="7">
        <v>35</v>
      </c>
      <c r="I9" s="8">
        <v>15</v>
      </c>
      <c r="J9" s="10">
        <v>39</v>
      </c>
      <c r="K9" s="25">
        <v>32</v>
      </c>
      <c r="L9" s="8">
        <v>23</v>
      </c>
      <c r="M9" s="10">
        <v>34</v>
      </c>
    </row>
    <row r="10" spans="2:13" x14ac:dyDescent="0.35">
      <c r="C10" s="26">
        <f>SUM(C5:C9)</f>
        <v>37</v>
      </c>
      <c r="D10" s="26">
        <f>SUM(D5:D9)</f>
        <v>52</v>
      </c>
      <c r="E10" s="26">
        <f>SUM(E5:E9)</f>
        <v>3</v>
      </c>
      <c r="F10" s="26">
        <f>SUM(F5:F9)</f>
        <v>146</v>
      </c>
      <c r="G10" s="26"/>
      <c r="H10" s="26">
        <f t="shared" ref="H10:M10" si="0">SUM(H5:H9)</f>
        <v>80</v>
      </c>
      <c r="I10" s="26">
        <f t="shared" si="0"/>
        <v>28</v>
      </c>
      <c r="J10" s="26">
        <f t="shared" si="0"/>
        <v>84</v>
      </c>
      <c r="K10" s="26">
        <f t="shared" si="0"/>
        <v>69</v>
      </c>
      <c r="L10" s="26">
        <f t="shared" si="0"/>
        <v>52</v>
      </c>
      <c r="M10" s="26">
        <f t="shared" si="0"/>
        <v>73</v>
      </c>
    </row>
  </sheetData>
  <mergeCells count="4">
    <mergeCell ref="C2:M2"/>
    <mergeCell ref="C3:F3"/>
    <mergeCell ref="H3:J3"/>
    <mergeCell ref="K3:M3"/>
  </mergeCells>
  <conditionalFormatting sqref="C5:M9">
    <cfRule type="cellIs" dxfId="6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34E1B-A0E7-410F-A910-A9D766F1610B}">
  <dimension ref="B2:M10"/>
  <sheetViews>
    <sheetView workbookViewId="0">
      <selection activeCell="M12" sqref="M12"/>
    </sheetView>
  </sheetViews>
  <sheetFormatPr baseColWidth="10" defaultRowHeight="14.5" x14ac:dyDescent="0.35"/>
  <cols>
    <col min="1" max="1" width="2.1796875" customWidth="1"/>
    <col min="2" max="2" width="23" bestFit="1" customWidth="1"/>
    <col min="3" max="5" width="4.1796875" bestFit="1" customWidth="1"/>
    <col min="6" max="6" width="4.453125" bestFit="1" customWidth="1"/>
    <col min="7" max="7" width="9.54296875" customWidth="1"/>
    <col min="8" max="8" width="6.6328125" bestFit="1" customWidth="1"/>
    <col min="9" max="9" width="5.453125" bestFit="1" customWidth="1"/>
    <col min="10" max="13" width="4.81640625" bestFit="1" customWidth="1"/>
  </cols>
  <sheetData>
    <row r="2" spans="2:13" x14ac:dyDescent="0.35">
      <c r="C2" s="66" t="s">
        <v>27</v>
      </c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2:13" ht="15" thickBot="1" x14ac:dyDescent="0.4">
      <c r="B3" s="1"/>
      <c r="C3" s="67" t="s">
        <v>0</v>
      </c>
      <c r="D3" s="67"/>
      <c r="E3" s="67"/>
      <c r="F3" s="67"/>
      <c r="G3" s="27"/>
      <c r="H3" s="67" t="s">
        <v>1</v>
      </c>
      <c r="I3" s="67"/>
      <c r="J3" s="67"/>
      <c r="K3" s="67" t="s">
        <v>2</v>
      </c>
      <c r="L3" s="67"/>
      <c r="M3" s="67"/>
    </row>
    <row r="4" spans="2:13" ht="36.5" thickBot="1" x14ac:dyDescent="0.4">
      <c r="B4" s="1"/>
      <c r="C4" s="31" t="s">
        <v>14</v>
      </c>
      <c r="D4" s="31" t="s">
        <v>15</v>
      </c>
      <c r="E4" s="31" t="s">
        <v>16</v>
      </c>
      <c r="F4" s="45" t="s">
        <v>17</v>
      </c>
      <c r="G4" s="52" t="s">
        <v>85</v>
      </c>
      <c r="H4" s="37" t="s">
        <v>18</v>
      </c>
      <c r="I4" s="38" t="s">
        <v>19</v>
      </c>
      <c r="J4" s="60" t="s">
        <v>4</v>
      </c>
      <c r="K4" s="61" t="s">
        <v>5</v>
      </c>
      <c r="L4" s="41" t="s">
        <v>6</v>
      </c>
      <c r="M4" s="42" t="s">
        <v>7</v>
      </c>
    </row>
    <row r="5" spans="2:13" x14ac:dyDescent="0.35">
      <c r="B5" s="2" t="s">
        <v>22</v>
      </c>
      <c r="C5" s="53">
        <v>0</v>
      </c>
      <c r="D5" s="54">
        <v>0</v>
      </c>
      <c r="E5" s="54">
        <v>0</v>
      </c>
      <c r="F5" s="55">
        <v>53</v>
      </c>
      <c r="G5" s="56"/>
      <c r="H5" s="53">
        <v>12</v>
      </c>
      <c r="I5" s="54">
        <v>0</v>
      </c>
      <c r="J5" s="57">
        <v>0</v>
      </c>
      <c r="K5" s="58">
        <v>18</v>
      </c>
      <c r="L5" s="54">
        <v>0</v>
      </c>
      <c r="M5" s="57">
        <v>0</v>
      </c>
    </row>
    <row r="6" spans="2:13" x14ac:dyDescent="0.35">
      <c r="B6" s="2" t="s">
        <v>23</v>
      </c>
      <c r="C6" s="3">
        <v>0</v>
      </c>
      <c r="D6" s="4">
        <v>2</v>
      </c>
      <c r="E6" s="4">
        <v>9</v>
      </c>
      <c r="F6" s="5">
        <v>38</v>
      </c>
      <c r="G6" s="46"/>
      <c r="H6" s="3">
        <v>8</v>
      </c>
      <c r="I6" s="4">
        <v>0</v>
      </c>
      <c r="J6" s="6">
        <v>40</v>
      </c>
      <c r="K6" s="24">
        <v>40</v>
      </c>
      <c r="L6" s="4">
        <v>0</v>
      </c>
      <c r="M6" s="6">
        <v>25</v>
      </c>
    </row>
    <row r="7" spans="2:13" x14ac:dyDescent="0.35">
      <c r="B7" s="2" t="s">
        <v>24</v>
      </c>
      <c r="C7" s="3">
        <v>11</v>
      </c>
      <c r="D7" s="4">
        <v>23</v>
      </c>
      <c r="E7" s="4">
        <v>15</v>
      </c>
      <c r="F7" s="5">
        <v>0</v>
      </c>
      <c r="G7" s="46"/>
      <c r="H7" s="3">
        <v>2</v>
      </c>
      <c r="I7" s="4">
        <v>15</v>
      </c>
      <c r="J7" s="6">
        <v>32</v>
      </c>
      <c r="K7" s="24">
        <v>42</v>
      </c>
      <c r="L7" s="4">
        <v>0</v>
      </c>
      <c r="M7" s="6">
        <v>16</v>
      </c>
    </row>
    <row r="8" spans="2:13" x14ac:dyDescent="0.35">
      <c r="B8" s="2" t="s">
        <v>25</v>
      </c>
      <c r="C8" s="3">
        <v>1</v>
      </c>
      <c r="D8" s="4">
        <v>17</v>
      </c>
      <c r="E8" s="4">
        <v>11</v>
      </c>
      <c r="F8" s="5">
        <v>36</v>
      </c>
      <c r="G8" s="46"/>
      <c r="H8" s="3">
        <v>23</v>
      </c>
      <c r="I8" s="4">
        <v>3</v>
      </c>
      <c r="J8" s="6">
        <v>39</v>
      </c>
      <c r="K8" s="24">
        <v>38</v>
      </c>
      <c r="L8" s="4">
        <v>0</v>
      </c>
      <c r="M8" s="6">
        <v>44</v>
      </c>
    </row>
    <row r="9" spans="2:13" ht="15" thickBot="1" x14ac:dyDescent="0.4">
      <c r="B9" s="2" t="s">
        <v>26</v>
      </c>
      <c r="C9" s="7">
        <v>0</v>
      </c>
      <c r="D9" s="8">
        <v>0</v>
      </c>
      <c r="E9" s="8">
        <v>0</v>
      </c>
      <c r="F9" s="9">
        <v>24</v>
      </c>
      <c r="G9" s="47"/>
      <c r="H9" s="7">
        <v>2</v>
      </c>
      <c r="I9" s="8">
        <v>0</v>
      </c>
      <c r="J9" s="10">
        <v>6</v>
      </c>
      <c r="K9" s="25">
        <v>31</v>
      </c>
      <c r="L9" s="8">
        <v>0</v>
      </c>
      <c r="M9" s="10">
        <v>0</v>
      </c>
    </row>
    <row r="10" spans="2:13" x14ac:dyDescent="0.35">
      <c r="C10" s="26">
        <f>SUM(C5:C9)</f>
        <v>12</v>
      </c>
      <c r="D10" s="26">
        <f>SUM(D5:D9)</f>
        <v>42</v>
      </c>
      <c r="E10" s="26">
        <f>SUM(E5:E9)</f>
        <v>35</v>
      </c>
      <c r="F10" s="26">
        <f>SUM(F5:F9)</f>
        <v>151</v>
      </c>
      <c r="G10" s="26"/>
      <c r="H10" s="26">
        <f t="shared" ref="H10:M10" si="0">SUM(H5:H9)</f>
        <v>47</v>
      </c>
      <c r="I10" s="26">
        <f t="shared" si="0"/>
        <v>18</v>
      </c>
      <c r="J10" s="26">
        <f t="shared" si="0"/>
        <v>117</v>
      </c>
      <c r="K10" s="26">
        <f t="shared" si="0"/>
        <v>169</v>
      </c>
      <c r="L10" s="26">
        <f t="shared" si="0"/>
        <v>0</v>
      </c>
      <c r="M10" s="26">
        <f t="shared" si="0"/>
        <v>85</v>
      </c>
    </row>
  </sheetData>
  <mergeCells count="4">
    <mergeCell ref="C2:M2"/>
    <mergeCell ref="C3:F3"/>
    <mergeCell ref="H3:J3"/>
    <mergeCell ref="K3:M3"/>
  </mergeCells>
  <conditionalFormatting sqref="C5:M9">
    <cfRule type="cellIs" dxfId="5" priority="2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69BDD-074A-40A0-98D5-0152AA974099}">
  <dimension ref="B2:M10"/>
  <sheetViews>
    <sheetView topLeftCell="A2" workbookViewId="0">
      <selection activeCell="G6" sqref="G6"/>
    </sheetView>
  </sheetViews>
  <sheetFormatPr baseColWidth="10" defaultRowHeight="14.5" x14ac:dyDescent="0.35"/>
  <cols>
    <col min="1" max="1" width="2.1796875" customWidth="1"/>
    <col min="2" max="2" width="23" bestFit="1" customWidth="1"/>
    <col min="3" max="5" width="4.1796875" bestFit="1" customWidth="1"/>
    <col min="6" max="6" width="4.453125" bestFit="1" customWidth="1"/>
    <col min="7" max="7" width="9.54296875" customWidth="1"/>
    <col min="8" max="8" width="6.6328125" bestFit="1" customWidth="1"/>
    <col min="9" max="9" width="5.453125" bestFit="1" customWidth="1"/>
    <col min="10" max="13" width="4.81640625" bestFit="1" customWidth="1"/>
  </cols>
  <sheetData>
    <row r="2" spans="2:13" x14ac:dyDescent="0.35">
      <c r="C2" s="66" t="s">
        <v>33</v>
      </c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2:13" ht="15" thickBot="1" x14ac:dyDescent="0.4">
      <c r="B3" s="1"/>
      <c r="C3" s="67" t="s">
        <v>0</v>
      </c>
      <c r="D3" s="67"/>
      <c r="E3" s="67"/>
      <c r="F3" s="67"/>
      <c r="G3" s="27"/>
      <c r="H3" s="67" t="s">
        <v>1</v>
      </c>
      <c r="I3" s="67"/>
      <c r="J3" s="67"/>
      <c r="K3" s="67" t="s">
        <v>2</v>
      </c>
      <c r="L3" s="67"/>
      <c r="M3" s="67"/>
    </row>
    <row r="4" spans="2:13" ht="36.5" thickBot="1" x14ac:dyDescent="0.4">
      <c r="B4" s="1"/>
      <c r="C4" s="31" t="s">
        <v>14</v>
      </c>
      <c r="D4" s="31" t="s">
        <v>15</v>
      </c>
      <c r="E4" s="31" t="s">
        <v>16</v>
      </c>
      <c r="F4" s="32" t="s">
        <v>17</v>
      </c>
      <c r="G4" s="62" t="s">
        <v>85</v>
      </c>
      <c r="H4" s="37" t="s">
        <v>18</v>
      </c>
      <c r="I4" s="38" t="s">
        <v>19</v>
      </c>
      <c r="J4" s="60" t="s">
        <v>4</v>
      </c>
      <c r="K4" s="61" t="s">
        <v>5</v>
      </c>
      <c r="L4" s="41" t="s">
        <v>6</v>
      </c>
      <c r="M4" s="42" t="s">
        <v>7</v>
      </c>
    </row>
    <row r="5" spans="2:13" x14ac:dyDescent="0.35">
      <c r="B5" s="2" t="s">
        <v>28</v>
      </c>
      <c r="C5" s="53">
        <v>0</v>
      </c>
      <c r="D5" s="54">
        <v>1</v>
      </c>
      <c r="E5" s="54">
        <v>5</v>
      </c>
      <c r="F5" s="57">
        <v>16</v>
      </c>
      <c r="G5" s="58"/>
      <c r="H5" s="53">
        <v>8</v>
      </c>
      <c r="I5" s="54">
        <v>0</v>
      </c>
      <c r="J5" s="57">
        <v>2</v>
      </c>
      <c r="K5" s="58">
        <v>10</v>
      </c>
      <c r="L5" s="54">
        <v>0</v>
      </c>
      <c r="M5" s="57">
        <v>18</v>
      </c>
    </row>
    <row r="6" spans="2:13" x14ac:dyDescent="0.35">
      <c r="B6" s="2" t="s">
        <v>29</v>
      </c>
      <c r="C6" s="3">
        <v>2</v>
      </c>
      <c r="D6" s="4">
        <v>10</v>
      </c>
      <c r="E6" s="4">
        <v>5</v>
      </c>
      <c r="F6" s="6">
        <v>16</v>
      </c>
      <c r="G6" s="24"/>
      <c r="H6" s="3">
        <v>10</v>
      </c>
      <c r="I6" s="4">
        <v>11</v>
      </c>
      <c r="J6" s="6">
        <v>12</v>
      </c>
      <c r="K6" s="24">
        <v>6</v>
      </c>
      <c r="L6" s="4">
        <v>10</v>
      </c>
      <c r="M6" s="6">
        <v>17</v>
      </c>
    </row>
    <row r="7" spans="2:13" x14ac:dyDescent="0.35">
      <c r="B7" s="2" t="s">
        <v>30</v>
      </c>
      <c r="C7" s="3">
        <v>0</v>
      </c>
      <c r="D7" s="4">
        <v>0</v>
      </c>
      <c r="E7" s="4">
        <v>0</v>
      </c>
      <c r="F7" s="6">
        <v>29</v>
      </c>
      <c r="G7" s="24"/>
      <c r="H7" s="3">
        <v>11</v>
      </c>
      <c r="I7" s="4">
        <v>0</v>
      </c>
      <c r="J7" s="6">
        <v>0</v>
      </c>
      <c r="K7" s="24">
        <v>0</v>
      </c>
      <c r="L7" s="4">
        <v>0</v>
      </c>
      <c r="M7" s="6">
        <v>22</v>
      </c>
    </row>
    <row r="8" spans="2:13" x14ac:dyDescent="0.35">
      <c r="B8" s="2" t="s">
        <v>31</v>
      </c>
      <c r="C8" s="3">
        <v>1</v>
      </c>
      <c r="D8" s="4">
        <v>1</v>
      </c>
      <c r="E8" s="4">
        <v>11</v>
      </c>
      <c r="F8" s="6">
        <v>26</v>
      </c>
      <c r="G8" s="24"/>
      <c r="H8" s="3">
        <v>8</v>
      </c>
      <c r="I8" s="4">
        <v>9</v>
      </c>
      <c r="J8" s="6">
        <v>22</v>
      </c>
      <c r="K8" s="24">
        <v>8</v>
      </c>
      <c r="L8" s="4">
        <v>7</v>
      </c>
      <c r="M8" s="6">
        <v>24</v>
      </c>
    </row>
    <row r="9" spans="2:13" ht="15" thickBot="1" x14ac:dyDescent="0.4">
      <c r="B9" s="2" t="s">
        <v>32</v>
      </c>
      <c r="C9" s="7">
        <v>9</v>
      </c>
      <c r="D9" s="8">
        <v>1</v>
      </c>
      <c r="E9" s="8">
        <v>4</v>
      </c>
      <c r="F9" s="10">
        <v>19</v>
      </c>
      <c r="G9" s="25"/>
      <c r="H9" s="7">
        <v>5</v>
      </c>
      <c r="I9" s="8">
        <v>10</v>
      </c>
      <c r="J9" s="10">
        <v>18</v>
      </c>
      <c r="K9" s="25">
        <v>10</v>
      </c>
      <c r="L9" s="8">
        <v>3</v>
      </c>
      <c r="M9" s="10">
        <v>20</v>
      </c>
    </row>
    <row r="10" spans="2:13" x14ac:dyDescent="0.35">
      <c r="C10" s="26">
        <f>SUM(C5:C9)</f>
        <v>12</v>
      </c>
      <c r="D10" s="26">
        <f>SUM(D5:D9)</f>
        <v>13</v>
      </c>
      <c r="E10" s="26">
        <f>SUM(E5:E9)</f>
        <v>25</v>
      </c>
      <c r="F10" s="26">
        <f>SUM(F5:F9)</f>
        <v>106</v>
      </c>
      <c r="G10" s="26"/>
      <c r="H10" s="26">
        <f t="shared" ref="H10:M10" si="0">SUM(H5:H9)</f>
        <v>42</v>
      </c>
      <c r="I10" s="26">
        <f t="shared" si="0"/>
        <v>30</v>
      </c>
      <c r="J10" s="26">
        <f t="shared" si="0"/>
        <v>54</v>
      </c>
      <c r="K10" s="26">
        <f t="shared" si="0"/>
        <v>34</v>
      </c>
      <c r="L10" s="26">
        <f t="shared" si="0"/>
        <v>20</v>
      </c>
      <c r="M10" s="26">
        <f t="shared" si="0"/>
        <v>101</v>
      </c>
    </row>
  </sheetData>
  <mergeCells count="4">
    <mergeCell ref="C2:M2"/>
    <mergeCell ref="C3:F3"/>
    <mergeCell ref="H3:J3"/>
    <mergeCell ref="K3:M3"/>
  </mergeCells>
  <conditionalFormatting sqref="C5:M9">
    <cfRule type="cellIs" dxfId="4" priority="2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BB4C8-2793-4BA7-A08D-250B5CEAA71C}">
  <dimension ref="B2:M9"/>
  <sheetViews>
    <sheetView topLeftCell="A2" workbookViewId="0">
      <selection activeCell="M14" sqref="M14"/>
    </sheetView>
  </sheetViews>
  <sheetFormatPr baseColWidth="10" defaultRowHeight="14.5" x14ac:dyDescent="0.35"/>
  <cols>
    <col min="1" max="1" width="2.1796875" customWidth="1"/>
    <col min="2" max="2" width="23" bestFit="1" customWidth="1"/>
    <col min="3" max="5" width="4.1796875" bestFit="1" customWidth="1"/>
    <col min="6" max="6" width="4.453125" bestFit="1" customWidth="1"/>
    <col min="7" max="7" width="9.54296875" customWidth="1"/>
    <col min="8" max="8" width="6.6328125" bestFit="1" customWidth="1"/>
    <col min="9" max="9" width="5.453125" bestFit="1" customWidth="1"/>
    <col min="10" max="13" width="4.81640625" bestFit="1" customWidth="1"/>
  </cols>
  <sheetData>
    <row r="2" spans="2:13" x14ac:dyDescent="0.35">
      <c r="C2" s="66" t="s">
        <v>38</v>
      </c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2:13" ht="15" thickBot="1" x14ac:dyDescent="0.4">
      <c r="B3" s="1"/>
      <c r="C3" s="67" t="s">
        <v>0</v>
      </c>
      <c r="D3" s="67"/>
      <c r="E3" s="67"/>
      <c r="F3" s="67"/>
      <c r="G3" s="27"/>
      <c r="H3" s="67" t="s">
        <v>1</v>
      </c>
      <c r="I3" s="67"/>
      <c r="J3" s="67"/>
      <c r="K3" s="67" t="s">
        <v>2</v>
      </c>
      <c r="L3" s="67"/>
      <c r="M3" s="67"/>
    </row>
    <row r="4" spans="2:13" ht="36.5" thickBot="1" x14ac:dyDescent="0.4">
      <c r="B4" s="1"/>
      <c r="C4" s="31" t="s">
        <v>14</v>
      </c>
      <c r="D4" s="31" t="s">
        <v>15</v>
      </c>
      <c r="E4" s="31" t="s">
        <v>16</v>
      </c>
      <c r="F4" s="32" t="s">
        <v>17</v>
      </c>
      <c r="G4" s="52" t="s">
        <v>85</v>
      </c>
      <c r="H4" s="37" t="s">
        <v>18</v>
      </c>
      <c r="I4" s="38" t="s">
        <v>19</v>
      </c>
      <c r="J4" s="60" t="s">
        <v>4</v>
      </c>
      <c r="K4" s="40" t="s">
        <v>5</v>
      </c>
      <c r="L4" s="41" t="s">
        <v>6</v>
      </c>
      <c r="M4" s="42" t="s">
        <v>7</v>
      </c>
    </row>
    <row r="5" spans="2:13" x14ac:dyDescent="0.35">
      <c r="B5" s="2" t="s">
        <v>34</v>
      </c>
      <c r="C5" s="53">
        <v>11</v>
      </c>
      <c r="D5" s="54">
        <v>10</v>
      </c>
      <c r="E5" s="54">
        <v>21</v>
      </c>
      <c r="F5" s="57">
        <v>39</v>
      </c>
      <c r="G5" s="56"/>
      <c r="H5" s="53">
        <v>45</v>
      </c>
      <c r="I5" s="54">
        <v>30</v>
      </c>
      <c r="J5" s="57">
        <v>6</v>
      </c>
      <c r="K5" s="53">
        <v>20</v>
      </c>
      <c r="L5" s="54">
        <v>12</v>
      </c>
      <c r="M5" s="57">
        <v>49</v>
      </c>
    </row>
    <row r="6" spans="2:13" x14ac:dyDescent="0.35">
      <c r="B6" s="2" t="s">
        <v>35</v>
      </c>
      <c r="C6" s="3">
        <v>5</v>
      </c>
      <c r="D6" s="4">
        <v>10</v>
      </c>
      <c r="E6" s="4">
        <v>12</v>
      </c>
      <c r="F6" s="6">
        <v>19</v>
      </c>
      <c r="G6" s="46"/>
      <c r="H6" s="3">
        <v>19</v>
      </c>
      <c r="I6" s="4">
        <v>14</v>
      </c>
      <c r="J6" s="6">
        <v>13</v>
      </c>
      <c r="K6" s="3">
        <v>17</v>
      </c>
      <c r="L6" s="4">
        <v>2</v>
      </c>
      <c r="M6" s="6">
        <v>27</v>
      </c>
    </row>
    <row r="7" spans="2:13" x14ac:dyDescent="0.35">
      <c r="B7" s="2" t="s">
        <v>36</v>
      </c>
      <c r="C7" s="3">
        <v>0</v>
      </c>
      <c r="D7" s="4">
        <v>0</v>
      </c>
      <c r="E7" s="4">
        <v>14</v>
      </c>
      <c r="F7" s="6">
        <v>20</v>
      </c>
      <c r="G7" s="46"/>
      <c r="H7" s="3">
        <v>21</v>
      </c>
      <c r="I7" s="4">
        <v>0</v>
      </c>
      <c r="J7" s="6">
        <v>0</v>
      </c>
      <c r="K7" s="3">
        <v>13</v>
      </c>
      <c r="L7" s="4">
        <v>0</v>
      </c>
      <c r="M7" s="6">
        <v>18</v>
      </c>
    </row>
    <row r="8" spans="2:13" ht="15" thickBot="1" x14ac:dyDescent="0.4">
      <c r="B8" s="2" t="s">
        <v>37</v>
      </c>
      <c r="C8" s="7">
        <v>0</v>
      </c>
      <c r="D8" s="8">
        <v>0</v>
      </c>
      <c r="E8" s="8">
        <v>2</v>
      </c>
      <c r="F8" s="10">
        <v>0</v>
      </c>
      <c r="G8" s="47"/>
      <c r="H8" s="7">
        <v>8</v>
      </c>
      <c r="I8" s="8">
        <v>0</v>
      </c>
      <c r="J8" s="10">
        <v>0</v>
      </c>
      <c r="K8" s="7">
        <v>5</v>
      </c>
      <c r="L8" s="8">
        <v>0</v>
      </c>
      <c r="M8" s="10">
        <v>3</v>
      </c>
    </row>
    <row r="9" spans="2:13" x14ac:dyDescent="0.35">
      <c r="C9" s="26">
        <f>SUM(C5:C8)</f>
        <v>16</v>
      </c>
      <c r="D9" s="26">
        <f>SUM(D5:D8)</f>
        <v>20</v>
      </c>
      <c r="E9" s="26">
        <f>SUM(E5:E8)</f>
        <v>49</v>
      </c>
      <c r="F9" s="26">
        <f>SUM(F5:F8)</f>
        <v>78</v>
      </c>
      <c r="G9" s="26"/>
      <c r="H9" s="26">
        <f t="shared" ref="H9:M9" si="0">SUM(H5:H8)</f>
        <v>93</v>
      </c>
      <c r="I9" s="26">
        <f t="shared" si="0"/>
        <v>44</v>
      </c>
      <c r="J9" s="26">
        <f t="shared" si="0"/>
        <v>19</v>
      </c>
      <c r="K9" s="26">
        <f t="shared" si="0"/>
        <v>55</v>
      </c>
      <c r="L9" s="26">
        <f t="shared" si="0"/>
        <v>14</v>
      </c>
      <c r="M9" s="26">
        <f t="shared" si="0"/>
        <v>97</v>
      </c>
    </row>
  </sheetData>
  <mergeCells count="4">
    <mergeCell ref="C2:M2"/>
    <mergeCell ref="C3:F3"/>
    <mergeCell ref="H3:J3"/>
    <mergeCell ref="K3:M3"/>
  </mergeCells>
  <conditionalFormatting sqref="C5:M8">
    <cfRule type="cellIs" dxfId="3" priority="2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CE5BA-3D58-4416-9D25-E1EB0E613589}">
  <dimension ref="B2:M9"/>
  <sheetViews>
    <sheetView topLeftCell="A2" workbookViewId="0">
      <selection activeCell="N12" sqref="N12"/>
    </sheetView>
  </sheetViews>
  <sheetFormatPr baseColWidth="10" defaultRowHeight="14.5" x14ac:dyDescent="0.35"/>
  <cols>
    <col min="1" max="1" width="2.1796875" customWidth="1"/>
    <col min="2" max="2" width="23" bestFit="1" customWidth="1"/>
    <col min="3" max="5" width="4.1796875" bestFit="1" customWidth="1"/>
    <col min="6" max="6" width="4.453125" bestFit="1" customWidth="1"/>
    <col min="7" max="7" width="9.54296875" customWidth="1"/>
    <col min="8" max="8" width="6.6328125" bestFit="1" customWidth="1"/>
    <col min="9" max="9" width="5.453125" bestFit="1" customWidth="1"/>
    <col min="10" max="13" width="4.81640625" bestFit="1" customWidth="1"/>
  </cols>
  <sheetData>
    <row r="2" spans="2:13" x14ac:dyDescent="0.35">
      <c r="C2" s="66" t="s">
        <v>43</v>
      </c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2:13" ht="15" thickBot="1" x14ac:dyDescent="0.4">
      <c r="B3" s="1"/>
      <c r="C3" s="67" t="s">
        <v>0</v>
      </c>
      <c r="D3" s="67"/>
      <c r="E3" s="67"/>
      <c r="F3" s="67"/>
      <c r="G3" s="27"/>
      <c r="H3" s="67" t="s">
        <v>1</v>
      </c>
      <c r="I3" s="67"/>
      <c r="J3" s="67"/>
      <c r="K3" s="67" t="s">
        <v>2</v>
      </c>
      <c r="L3" s="67"/>
      <c r="M3" s="67"/>
    </row>
    <row r="4" spans="2:13" s="49" customFormat="1" ht="36.5" thickBot="1" x14ac:dyDescent="0.4">
      <c r="B4" s="48"/>
      <c r="C4" s="31" t="s">
        <v>14</v>
      </c>
      <c r="D4" s="31" t="s">
        <v>15</v>
      </c>
      <c r="E4" s="31" t="s">
        <v>16</v>
      </c>
      <c r="F4" s="45" t="s">
        <v>17</v>
      </c>
      <c r="G4" s="52" t="s">
        <v>85</v>
      </c>
      <c r="H4" s="37" t="s">
        <v>18</v>
      </c>
      <c r="I4" s="38" t="s">
        <v>19</v>
      </c>
      <c r="J4" s="60" t="s">
        <v>4</v>
      </c>
      <c r="K4" s="61" t="s">
        <v>5</v>
      </c>
      <c r="L4" s="41" t="s">
        <v>6</v>
      </c>
      <c r="M4" s="42" t="s">
        <v>7</v>
      </c>
    </row>
    <row r="5" spans="2:13" x14ac:dyDescent="0.35">
      <c r="B5" s="2" t="s">
        <v>39</v>
      </c>
      <c r="C5" s="53">
        <v>0</v>
      </c>
      <c r="D5" s="54">
        <v>17</v>
      </c>
      <c r="E5" s="54">
        <v>12</v>
      </c>
      <c r="F5" s="55">
        <v>48</v>
      </c>
      <c r="G5" s="56"/>
      <c r="H5" s="53">
        <v>42</v>
      </c>
      <c r="I5" s="54">
        <v>35</v>
      </c>
      <c r="J5" s="57">
        <v>0</v>
      </c>
      <c r="K5" s="58">
        <v>20</v>
      </c>
      <c r="L5" s="54">
        <v>19</v>
      </c>
      <c r="M5" s="57">
        <v>38</v>
      </c>
    </row>
    <row r="6" spans="2:13" x14ac:dyDescent="0.35">
      <c r="B6" s="2" t="s">
        <v>40</v>
      </c>
      <c r="C6" s="3">
        <v>0</v>
      </c>
      <c r="D6" s="4">
        <v>6</v>
      </c>
      <c r="E6" s="4">
        <v>7</v>
      </c>
      <c r="F6" s="5">
        <v>25</v>
      </c>
      <c r="G6" s="46"/>
      <c r="H6" s="3">
        <v>23</v>
      </c>
      <c r="I6" s="4">
        <v>13</v>
      </c>
      <c r="J6" s="6">
        <v>0</v>
      </c>
      <c r="K6" s="24">
        <v>7</v>
      </c>
      <c r="L6" s="4">
        <v>0</v>
      </c>
      <c r="M6" s="6">
        <v>11</v>
      </c>
    </row>
    <row r="7" spans="2:13" x14ac:dyDescent="0.35">
      <c r="B7" s="2" t="s">
        <v>41</v>
      </c>
      <c r="C7" s="3">
        <v>13</v>
      </c>
      <c r="D7" s="4">
        <v>23</v>
      </c>
      <c r="E7" s="4">
        <v>27</v>
      </c>
      <c r="F7" s="5">
        <v>28</v>
      </c>
      <c r="G7" s="46"/>
      <c r="H7" s="3">
        <v>38</v>
      </c>
      <c r="I7" s="4">
        <v>41</v>
      </c>
      <c r="J7" s="6">
        <v>11</v>
      </c>
      <c r="K7" s="24">
        <v>30</v>
      </c>
      <c r="L7" s="4">
        <v>35</v>
      </c>
      <c r="M7" s="6">
        <v>26</v>
      </c>
    </row>
    <row r="8" spans="2:13" ht="15" thickBot="1" x14ac:dyDescent="0.4">
      <c r="B8" s="2" t="s">
        <v>42</v>
      </c>
      <c r="C8" s="7">
        <v>0</v>
      </c>
      <c r="D8" s="8">
        <v>0</v>
      </c>
      <c r="E8" s="8">
        <v>30</v>
      </c>
      <c r="F8" s="9">
        <v>75</v>
      </c>
      <c r="G8" s="47"/>
      <c r="H8" s="7">
        <v>41</v>
      </c>
      <c r="I8" s="8">
        <v>23</v>
      </c>
      <c r="J8" s="10">
        <v>0</v>
      </c>
      <c r="K8" s="25">
        <v>41</v>
      </c>
      <c r="L8" s="8">
        <v>0</v>
      </c>
      <c r="M8" s="10">
        <v>22</v>
      </c>
    </row>
    <row r="9" spans="2:13" x14ac:dyDescent="0.35">
      <c r="C9" s="26">
        <f>SUM(C5:C8)</f>
        <v>13</v>
      </c>
      <c r="D9" s="26">
        <f>SUM(D5:D8)</f>
        <v>46</v>
      </c>
      <c r="E9" s="26">
        <f>SUM(E5:E8)</f>
        <v>76</v>
      </c>
      <c r="F9" s="26">
        <f>SUM(F5:F8)</f>
        <v>176</v>
      </c>
      <c r="G9" s="26"/>
      <c r="H9" s="26">
        <f t="shared" ref="H9:M9" si="0">SUM(H5:H8)</f>
        <v>144</v>
      </c>
      <c r="I9" s="26">
        <f t="shared" si="0"/>
        <v>112</v>
      </c>
      <c r="J9" s="26">
        <f t="shared" si="0"/>
        <v>11</v>
      </c>
      <c r="K9" s="26">
        <f t="shared" si="0"/>
        <v>98</v>
      </c>
      <c r="L9" s="26">
        <f t="shared" si="0"/>
        <v>54</v>
      </c>
      <c r="M9" s="26">
        <f t="shared" si="0"/>
        <v>97</v>
      </c>
    </row>
  </sheetData>
  <mergeCells count="4">
    <mergeCell ref="C2:M2"/>
    <mergeCell ref="C3:F3"/>
    <mergeCell ref="H3:J3"/>
    <mergeCell ref="K3:M3"/>
  </mergeCells>
  <conditionalFormatting sqref="C5:M8">
    <cfRule type="cellIs" dxfId="2" priority="2" operator="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0499D-F2E4-4A3A-BD63-CF6B53D93BEF}">
  <dimension ref="B2:L17"/>
  <sheetViews>
    <sheetView topLeftCell="A2" workbookViewId="0">
      <selection activeCell="M4" sqref="M4"/>
    </sheetView>
  </sheetViews>
  <sheetFormatPr baseColWidth="10" defaultRowHeight="14.5" x14ac:dyDescent="0.35"/>
  <cols>
    <col min="1" max="1" width="2.453125" customWidth="1"/>
    <col min="2" max="2" width="15.1796875" customWidth="1"/>
    <col min="3" max="5" width="5" customWidth="1"/>
    <col min="6" max="6" width="9.54296875" customWidth="1"/>
    <col min="7" max="7" width="6.6328125" bestFit="1" customWidth="1"/>
    <col min="8" max="8" width="5.453125" bestFit="1" customWidth="1"/>
    <col min="9" max="9" width="3.81640625" bestFit="1" customWidth="1"/>
    <col min="10" max="12" width="4.54296875" customWidth="1"/>
  </cols>
  <sheetData>
    <row r="2" spans="2:12" x14ac:dyDescent="0.35">
      <c r="C2" s="66" t="s">
        <v>69</v>
      </c>
      <c r="D2" s="66"/>
      <c r="E2" s="66"/>
      <c r="F2" s="66"/>
      <c r="G2" s="66"/>
      <c r="H2" s="66"/>
      <c r="I2" s="66"/>
      <c r="J2" s="66"/>
      <c r="K2" s="66"/>
      <c r="L2" s="66"/>
    </row>
    <row r="3" spans="2:12" ht="15" thickBot="1" x14ac:dyDescent="0.4">
      <c r="B3" s="1"/>
      <c r="C3" s="67" t="s">
        <v>0</v>
      </c>
      <c r="D3" s="67"/>
      <c r="E3" s="67"/>
      <c r="F3" s="27"/>
      <c r="G3" s="67" t="s">
        <v>1</v>
      </c>
      <c r="H3" s="67"/>
      <c r="I3" s="67"/>
      <c r="J3" s="67" t="s">
        <v>2</v>
      </c>
      <c r="K3" s="67"/>
      <c r="L3" s="67"/>
    </row>
    <row r="4" spans="2:12" s="44" customFormat="1" ht="36.5" thickBot="1" x14ac:dyDescent="0.4">
      <c r="B4" s="43"/>
      <c r="C4" s="31" t="s">
        <v>67</v>
      </c>
      <c r="D4" s="35" t="s">
        <v>68</v>
      </c>
      <c r="E4" s="36" t="s">
        <v>3</v>
      </c>
      <c r="F4" s="52" t="s">
        <v>85</v>
      </c>
      <c r="G4" s="37" t="s">
        <v>18</v>
      </c>
      <c r="H4" s="38" t="s">
        <v>19</v>
      </c>
      <c r="I4" s="60" t="s">
        <v>4</v>
      </c>
      <c r="J4" s="40" t="s">
        <v>5</v>
      </c>
      <c r="K4" s="41" t="s">
        <v>6</v>
      </c>
      <c r="L4" s="42" t="s">
        <v>7</v>
      </c>
    </row>
    <row r="5" spans="2:12" x14ac:dyDescent="0.35">
      <c r="B5" s="2" t="s">
        <v>55</v>
      </c>
      <c r="C5" s="11">
        <v>35</v>
      </c>
      <c r="D5" s="12">
        <v>7</v>
      </c>
      <c r="E5" s="13">
        <v>0</v>
      </c>
      <c r="F5" s="50"/>
      <c r="G5" s="11">
        <v>0</v>
      </c>
      <c r="H5" s="12">
        <v>0</v>
      </c>
      <c r="I5" s="14">
        <v>34</v>
      </c>
      <c r="J5" s="11">
        <v>31</v>
      </c>
      <c r="K5" s="12">
        <v>0</v>
      </c>
      <c r="L5" s="14">
        <v>16</v>
      </c>
    </row>
    <row r="6" spans="2:12" x14ac:dyDescent="0.35">
      <c r="B6" s="2" t="s">
        <v>56</v>
      </c>
      <c r="C6" s="11">
        <v>37</v>
      </c>
      <c r="D6" s="12">
        <v>1</v>
      </c>
      <c r="E6" s="13">
        <v>0</v>
      </c>
      <c r="F6" s="50"/>
      <c r="G6" s="11">
        <v>0</v>
      </c>
      <c r="H6" s="12">
        <v>0</v>
      </c>
      <c r="I6" s="14">
        <v>28</v>
      </c>
      <c r="J6" s="11">
        <v>24</v>
      </c>
      <c r="K6" s="12">
        <v>0</v>
      </c>
      <c r="L6" s="14">
        <v>22</v>
      </c>
    </row>
    <row r="7" spans="2:12" x14ac:dyDescent="0.35">
      <c r="B7" s="2" t="s">
        <v>57</v>
      </c>
      <c r="C7" s="11">
        <v>27</v>
      </c>
      <c r="D7" s="12">
        <v>0</v>
      </c>
      <c r="E7" s="13">
        <v>0</v>
      </c>
      <c r="F7" s="50"/>
      <c r="G7" s="11">
        <v>25</v>
      </c>
      <c r="H7" s="12">
        <v>0</v>
      </c>
      <c r="I7" s="14">
        <v>8</v>
      </c>
      <c r="J7" s="11">
        <v>17</v>
      </c>
      <c r="K7" s="12">
        <v>0</v>
      </c>
      <c r="L7" s="14">
        <v>53</v>
      </c>
    </row>
    <row r="8" spans="2:12" x14ac:dyDescent="0.35">
      <c r="B8" s="2" t="s">
        <v>58</v>
      </c>
      <c r="C8" s="11">
        <v>2</v>
      </c>
      <c r="D8" s="12">
        <v>0</v>
      </c>
      <c r="E8" s="13">
        <v>0</v>
      </c>
      <c r="F8" s="50"/>
      <c r="G8" s="11">
        <v>14</v>
      </c>
      <c r="H8" s="12">
        <v>6</v>
      </c>
      <c r="I8" s="14">
        <v>0</v>
      </c>
      <c r="J8" s="11">
        <v>0</v>
      </c>
      <c r="K8" s="12">
        <v>0</v>
      </c>
      <c r="L8" s="14">
        <v>28</v>
      </c>
    </row>
    <row r="9" spans="2:12" x14ac:dyDescent="0.35">
      <c r="B9" s="2" t="s">
        <v>59</v>
      </c>
      <c r="C9" s="11">
        <v>40</v>
      </c>
      <c r="D9" s="12">
        <v>0</v>
      </c>
      <c r="E9" s="13">
        <v>0</v>
      </c>
      <c r="F9" s="50"/>
      <c r="G9" s="11">
        <v>12</v>
      </c>
      <c r="H9" s="12">
        <v>0</v>
      </c>
      <c r="I9" s="14">
        <v>0</v>
      </c>
      <c r="J9" s="11">
        <v>5</v>
      </c>
      <c r="K9" s="12">
        <v>0</v>
      </c>
      <c r="L9" s="14">
        <v>14</v>
      </c>
    </row>
    <row r="10" spans="2:12" x14ac:dyDescent="0.35">
      <c r="B10" s="2" t="s">
        <v>60</v>
      </c>
      <c r="C10" s="11">
        <v>10</v>
      </c>
      <c r="D10" s="12">
        <v>2</v>
      </c>
      <c r="E10" s="13">
        <v>0</v>
      </c>
      <c r="F10" s="50"/>
      <c r="G10" s="11">
        <v>9</v>
      </c>
      <c r="H10" s="12">
        <v>0</v>
      </c>
      <c r="I10" s="14">
        <v>9</v>
      </c>
      <c r="J10" s="11">
        <v>18</v>
      </c>
      <c r="K10" s="12">
        <v>0</v>
      </c>
      <c r="L10" s="14">
        <v>19</v>
      </c>
    </row>
    <row r="11" spans="2:12" x14ac:dyDescent="0.35">
      <c r="B11" s="2" t="s">
        <v>61</v>
      </c>
      <c r="C11" s="11">
        <v>1</v>
      </c>
      <c r="D11" s="12">
        <v>0</v>
      </c>
      <c r="E11" s="13">
        <v>17</v>
      </c>
      <c r="F11" s="50"/>
      <c r="G11" s="11">
        <v>32</v>
      </c>
      <c r="H11" s="12">
        <v>0</v>
      </c>
      <c r="I11" s="14">
        <v>0</v>
      </c>
      <c r="J11" s="11">
        <v>7</v>
      </c>
      <c r="K11" s="12">
        <v>0</v>
      </c>
      <c r="L11" s="14">
        <v>23</v>
      </c>
    </row>
    <row r="12" spans="2:12" x14ac:dyDescent="0.35">
      <c r="B12" s="2" t="s">
        <v>62</v>
      </c>
      <c r="C12" s="11">
        <v>36</v>
      </c>
      <c r="D12" s="12">
        <v>0</v>
      </c>
      <c r="E12" s="13">
        <v>0</v>
      </c>
      <c r="F12" s="50"/>
      <c r="G12" s="11">
        <v>18</v>
      </c>
      <c r="H12" s="12">
        <v>0</v>
      </c>
      <c r="I12" s="14">
        <v>13</v>
      </c>
      <c r="J12" s="11">
        <v>22</v>
      </c>
      <c r="K12" s="12">
        <v>0</v>
      </c>
      <c r="L12" s="14">
        <v>23</v>
      </c>
    </row>
    <row r="13" spans="2:12" x14ac:dyDescent="0.35">
      <c r="B13" s="2" t="s">
        <v>63</v>
      </c>
      <c r="C13" s="11">
        <v>20</v>
      </c>
      <c r="D13" s="12">
        <v>0</v>
      </c>
      <c r="E13" s="13">
        <v>0</v>
      </c>
      <c r="F13" s="50"/>
      <c r="G13" s="11">
        <v>12</v>
      </c>
      <c r="H13" s="12">
        <v>0</v>
      </c>
      <c r="I13" s="14">
        <v>0</v>
      </c>
      <c r="J13" s="11">
        <v>1</v>
      </c>
      <c r="K13" s="12">
        <v>0</v>
      </c>
      <c r="L13" s="14">
        <v>24</v>
      </c>
    </row>
    <row r="14" spans="2:12" x14ac:dyDescent="0.35">
      <c r="B14" s="2" t="s">
        <v>64</v>
      </c>
      <c r="C14" s="15">
        <v>36</v>
      </c>
      <c r="D14" s="16">
        <v>30</v>
      </c>
      <c r="E14" s="13">
        <v>0</v>
      </c>
      <c r="F14" s="50"/>
      <c r="G14" s="15">
        <v>0</v>
      </c>
      <c r="H14" s="12">
        <v>0</v>
      </c>
      <c r="I14" s="17">
        <v>55</v>
      </c>
      <c r="J14" s="15">
        <v>42</v>
      </c>
      <c r="K14" s="12">
        <v>0</v>
      </c>
      <c r="L14" s="17">
        <v>28</v>
      </c>
    </row>
    <row r="15" spans="2:12" x14ac:dyDescent="0.35">
      <c r="B15" s="2" t="s">
        <v>65</v>
      </c>
      <c r="C15" s="15">
        <v>13</v>
      </c>
      <c r="D15" s="16">
        <v>0</v>
      </c>
      <c r="E15" s="13">
        <v>0</v>
      </c>
      <c r="F15" s="50"/>
      <c r="G15" s="15">
        <v>0</v>
      </c>
      <c r="H15" s="16">
        <v>3</v>
      </c>
      <c r="I15" s="17">
        <v>11</v>
      </c>
      <c r="J15" s="15">
        <v>8</v>
      </c>
      <c r="K15" s="12">
        <v>0</v>
      </c>
      <c r="L15" s="17">
        <v>19</v>
      </c>
    </row>
    <row r="16" spans="2:12" ht="15" thickBot="1" x14ac:dyDescent="0.4">
      <c r="B16" s="2" t="s">
        <v>66</v>
      </c>
      <c r="C16" s="18">
        <v>14</v>
      </c>
      <c r="D16" s="19">
        <v>0</v>
      </c>
      <c r="E16" s="20">
        <v>0</v>
      </c>
      <c r="F16" s="51"/>
      <c r="G16" s="18">
        <v>1</v>
      </c>
      <c r="H16" s="19">
        <v>0</v>
      </c>
      <c r="I16" s="21">
        <v>12</v>
      </c>
      <c r="J16" s="18">
        <v>11</v>
      </c>
      <c r="K16" s="19">
        <v>0</v>
      </c>
      <c r="L16" s="21">
        <v>24</v>
      </c>
    </row>
    <row r="17" spans="2:12" x14ac:dyDescent="0.35">
      <c r="B17" s="1" t="s">
        <v>8</v>
      </c>
      <c r="C17" s="22">
        <f>SUM(C5:C16)</f>
        <v>271</v>
      </c>
      <c r="D17" s="22">
        <f t="shared" ref="D17:L17" si="0">SUM(D5:D16)</f>
        <v>40</v>
      </c>
      <c r="E17" s="22">
        <f t="shared" si="0"/>
        <v>17</v>
      </c>
      <c r="F17" s="22"/>
      <c r="G17" s="22">
        <f t="shared" si="0"/>
        <v>123</v>
      </c>
      <c r="H17" s="22">
        <f t="shared" si="0"/>
        <v>9</v>
      </c>
      <c r="I17" s="22">
        <f t="shared" si="0"/>
        <v>170</v>
      </c>
      <c r="J17" s="23">
        <f t="shared" si="0"/>
        <v>186</v>
      </c>
      <c r="K17" s="23">
        <f t="shared" si="0"/>
        <v>0</v>
      </c>
      <c r="L17" s="23">
        <f t="shared" si="0"/>
        <v>293</v>
      </c>
    </row>
  </sheetData>
  <mergeCells count="4">
    <mergeCell ref="C2:L2"/>
    <mergeCell ref="C3:E3"/>
    <mergeCell ref="G3:I3"/>
    <mergeCell ref="J3:L3"/>
  </mergeCells>
  <conditionalFormatting sqref="C5:L16">
    <cfRule type="cellIs" dxfId="1" priority="2" operator="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05EB3-1A8C-4025-B48D-83638D9CEC57}">
  <dimension ref="B2:N17"/>
  <sheetViews>
    <sheetView workbookViewId="0">
      <selection activeCell="O10" sqref="O10"/>
    </sheetView>
  </sheetViews>
  <sheetFormatPr baseColWidth="10" defaultRowHeight="14.5" x14ac:dyDescent="0.35"/>
  <cols>
    <col min="1" max="1" width="2.453125" customWidth="1"/>
    <col min="2" max="2" width="15.1796875" customWidth="1"/>
    <col min="3" max="7" width="5" customWidth="1"/>
    <col min="8" max="8" width="9.54296875" customWidth="1"/>
    <col min="9" max="9" width="6.6328125" bestFit="1" customWidth="1"/>
    <col min="10" max="10" width="5.453125" bestFit="1" customWidth="1"/>
    <col min="11" max="11" width="3.81640625" bestFit="1" customWidth="1"/>
    <col min="12" max="14" width="4.54296875" customWidth="1"/>
  </cols>
  <sheetData>
    <row r="2" spans="2:14" x14ac:dyDescent="0.35">
      <c r="C2" s="66" t="s">
        <v>84</v>
      </c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2:14" ht="15" thickBot="1" x14ac:dyDescent="0.4">
      <c r="B3" s="1"/>
      <c r="C3" s="67" t="s">
        <v>0</v>
      </c>
      <c r="D3" s="67"/>
      <c r="E3" s="67"/>
      <c r="F3" s="67"/>
      <c r="G3" s="67"/>
      <c r="H3" s="27"/>
      <c r="I3" s="67" t="s">
        <v>1</v>
      </c>
      <c r="J3" s="67"/>
      <c r="K3" s="67"/>
      <c r="L3" s="67" t="s">
        <v>2</v>
      </c>
      <c r="M3" s="67"/>
      <c r="N3" s="67"/>
    </row>
    <row r="4" spans="2:14" s="44" customFormat="1" ht="36.5" thickBot="1" x14ac:dyDescent="0.4">
      <c r="B4" s="43"/>
      <c r="C4" s="31" t="s">
        <v>67</v>
      </c>
      <c r="D4" s="64" t="s">
        <v>70</v>
      </c>
      <c r="E4" s="64" t="s">
        <v>68</v>
      </c>
      <c r="F4" s="35" t="s">
        <v>71</v>
      </c>
      <c r="G4" s="65" t="s">
        <v>72</v>
      </c>
      <c r="H4" s="52" t="s">
        <v>85</v>
      </c>
      <c r="I4" s="37" t="s">
        <v>18</v>
      </c>
      <c r="J4" s="38" t="s">
        <v>19</v>
      </c>
      <c r="K4" s="60" t="s">
        <v>4</v>
      </c>
      <c r="L4" s="40" t="s">
        <v>5</v>
      </c>
      <c r="M4" s="41" t="s">
        <v>6</v>
      </c>
      <c r="N4" s="42" t="s">
        <v>7</v>
      </c>
    </row>
    <row r="5" spans="2:14" x14ac:dyDescent="0.35">
      <c r="B5" s="2" t="s">
        <v>73</v>
      </c>
      <c r="C5" s="11">
        <v>4</v>
      </c>
      <c r="D5" s="28">
        <v>11</v>
      </c>
      <c r="E5" s="28">
        <v>6</v>
      </c>
      <c r="F5" s="12">
        <v>0</v>
      </c>
      <c r="G5" s="14">
        <v>32</v>
      </c>
      <c r="H5" s="50"/>
      <c r="I5" s="11">
        <v>287</v>
      </c>
      <c r="J5" s="12">
        <v>0</v>
      </c>
      <c r="K5" s="14">
        <v>0</v>
      </c>
      <c r="L5" s="11">
        <v>51</v>
      </c>
      <c r="M5" s="12">
        <v>0</v>
      </c>
      <c r="N5" s="14">
        <v>36</v>
      </c>
    </row>
    <row r="6" spans="2:14" x14ac:dyDescent="0.35">
      <c r="B6" s="2" t="s">
        <v>44</v>
      </c>
      <c r="C6" s="11">
        <v>0</v>
      </c>
      <c r="D6" s="28">
        <v>14</v>
      </c>
      <c r="E6" s="28">
        <v>27</v>
      </c>
      <c r="F6" s="12">
        <v>78</v>
      </c>
      <c r="G6" s="14">
        <v>234</v>
      </c>
      <c r="H6" s="50"/>
      <c r="I6" s="11">
        <v>255</v>
      </c>
      <c r="J6" s="12">
        <v>0</v>
      </c>
      <c r="K6" s="14">
        <v>159</v>
      </c>
      <c r="L6" s="11">
        <v>55</v>
      </c>
      <c r="M6" s="12">
        <v>149</v>
      </c>
      <c r="N6" s="14">
        <v>145</v>
      </c>
    </row>
    <row r="7" spans="2:14" x14ac:dyDescent="0.35">
      <c r="B7" s="2" t="s">
        <v>74</v>
      </c>
      <c r="C7" s="11">
        <v>15</v>
      </c>
      <c r="D7" s="28">
        <v>18</v>
      </c>
      <c r="E7" s="28">
        <v>12</v>
      </c>
      <c r="F7" s="12">
        <v>16</v>
      </c>
      <c r="G7" s="14">
        <v>39</v>
      </c>
      <c r="H7" s="50"/>
      <c r="I7" s="11">
        <v>135</v>
      </c>
      <c r="J7" s="12">
        <v>0</v>
      </c>
      <c r="K7" s="14">
        <v>0</v>
      </c>
      <c r="L7" s="11">
        <v>87</v>
      </c>
      <c r="M7" s="12">
        <v>23</v>
      </c>
      <c r="N7" s="14">
        <v>0</v>
      </c>
    </row>
    <row r="8" spans="2:14" x14ac:dyDescent="0.35">
      <c r="B8" s="2" t="s">
        <v>75</v>
      </c>
      <c r="C8" s="11">
        <v>16</v>
      </c>
      <c r="D8" s="28">
        <v>17</v>
      </c>
      <c r="E8" s="28">
        <v>22</v>
      </c>
      <c r="F8" s="12">
        <v>31</v>
      </c>
      <c r="G8" s="14">
        <v>72</v>
      </c>
      <c r="H8" s="50"/>
      <c r="I8" s="11">
        <v>76</v>
      </c>
      <c r="J8" s="12">
        <v>34</v>
      </c>
      <c r="K8" s="14">
        <v>48</v>
      </c>
      <c r="L8" s="11">
        <v>63</v>
      </c>
      <c r="M8" s="12">
        <v>57</v>
      </c>
      <c r="N8" s="14">
        <v>38</v>
      </c>
    </row>
    <row r="9" spans="2:14" x14ac:dyDescent="0.35">
      <c r="B9" s="2" t="s">
        <v>76</v>
      </c>
      <c r="C9" s="11">
        <v>4</v>
      </c>
      <c r="D9" s="28">
        <v>18</v>
      </c>
      <c r="E9" s="28">
        <v>12</v>
      </c>
      <c r="F9" s="12">
        <v>2</v>
      </c>
      <c r="G9" s="14">
        <v>37</v>
      </c>
      <c r="H9" s="50"/>
      <c r="I9" s="11">
        <v>81</v>
      </c>
      <c r="J9" s="12">
        <v>16</v>
      </c>
      <c r="K9" s="14">
        <v>0</v>
      </c>
      <c r="L9" s="11">
        <v>23</v>
      </c>
      <c r="M9" s="12">
        <v>12</v>
      </c>
      <c r="N9" s="14">
        <v>38</v>
      </c>
    </row>
    <row r="10" spans="2:14" x14ac:dyDescent="0.35">
      <c r="B10" s="2" t="s">
        <v>77</v>
      </c>
      <c r="C10" s="11">
        <v>17</v>
      </c>
      <c r="D10" s="28">
        <v>49</v>
      </c>
      <c r="E10" s="28">
        <v>34</v>
      </c>
      <c r="F10" s="12">
        <v>6</v>
      </c>
      <c r="G10" s="14">
        <v>19</v>
      </c>
      <c r="H10" s="50"/>
      <c r="I10" s="11">
        <v>96</v>
      </c>
      <c r="J10" s="12">
        <v>68</v>
      </c>
      <c r="K10" s="14">
        <v>0</v>
      </c>
      <c r="L10" s="11">
        <v>37</v>
      </c>
      <c r="M10" s="12">
        <v>64</v>
      </c>
      <c r="N10" s="14">
        <v>24</v>
      </c>
    </row>
    <row r="11" spans="2:14" x14ac:dyDescent="0.35">
      <c r="B11" s="2" t="s">
        <v>78</v>
      </c>
      <c r="C11" s="11">
        <v>66</v>
      </c>
      <c r="D11" s="28">
        <v>90</v>
      </c>
      <c r="E11" s="28">
        <v>124</v>
      </c>
      <c r="F11" s="12">
        <v>208</v>
      </c>
      <c r="G11" s="14">
        <v>147</v>
      </c>
      <c r="H11" s="50"/>
      <c r="I11" s="11">
        <v>225</v>
      </c>
      <c r="J11" s="12">
        <v>210</v>
      </c>
      <c r="K11" s="14">
        <v>200</v>
      </c>
      <c r="L11" s="11">
        <v>162</v>
      </c>
      <c r="M11" s="12">
        <v>277</v>
      </c>
      <c r="N11" s="14">
        <v>196</v>
      </c>
    </row>
    <row r="12" spans="2:14" x14ac:dyDescent="0.35">
      <c r="B12" s="2" t="s">
        <v>79</v>
      </c>
      <c r="C12" s="11">
        <v>57</v>
      </c>
      <c r="D12" s="28">
        <v>55</v>
      </c>
      <c r="E12" s="28">
        <v>58</v>
      </c>
      <c r="F12" s="12">
        <v>72</v>
      </c>
      <c r="G12" s="14">
        <v>107</v>
      </c>
      <c r="H12" s="50"/>
      <c r="I12" s="11">
        <v>178</v>
      </c>
      <c r="J12" s="12">
        <v>112</v>
      </c>
      <c r="K12" s="14">
        <v>59</v>
      </c>
      <c r="L12" s="11">
        <v>211</v>
      </c>
      <c r="M12" s="12">
        <v>73</v>
      </c>
      <c r="N12" s="14">
        <v>65</v>
      </c>
    </row>
    <row r="13" spans="2:14" x14ac:dyDescent="0.35">
      <c r="B13" s="2" t="s">
        <v>80</v>
      </c>
      <c r="C13" s="11">
        <v>23</v>
      </c>
      <c r="D13" s="28">
        <v>73</v>
      </c>
      <c r="E13" s="28">
        <v>119</v>
      </c>
      <c r="F13" s="12">
        <v>81</v>
      </c>
      <c r="G13" s="14">
        <v>112</v>
      </c>
      <c r="H13" s="50"/>
      <c r="I13" s="11">
        <v>189</v>
      </c>
      <c r="J13" s="12">
        <v>125</v>
      </c>
      <c r="K13" s="14">
        <v>94</v>
      </c>
      <c r="L13" s="11">
        <v>151</v>
      </c>
      <c r="M13" s="12">
        <v>201</v>
      </c>
      <c r="N13" s="14">
        <v>56</v>
      </c>
    </row>
    <row r="14" spans="2:14" x14ac:dyDescent="0.35">
      <c r="B14" s="2" t="s">
        <v>81</v>
      </c>
      <c r="C14" s="15">
        <v>0</v>
      </c>
      <c r="D14" s="29">
        <v>8</v>
      </c>
      <c r="E14" s="29">
        <v>9</v>
      </c>
      <c r="F14" s="16">
        <v>17</v>
      </c>
      <c r="G14" s="14">
        <v>20</v>
      </c>
      <c r="H14" s="50"/>
      <c r="I14" s="15">
        <v>45</v>
      </c>
      <c r="J14" s="12">
        <v>7</v>
      </c>
      <c r="K14" s="17">
        <v>1</v>
      </c>
      <c r="L14" s="15">
        <v>26</v>
      </c>
      <c r="M14" s="12">
        <v>9</v>
      </c>
      <c r="N14" s="17">
        <v>18</v>
      </c>
    </row>
    <row r="15" spans="2:14" x14ac:dyDescent="0.35">
      <c r="B15" s="2" t="s">
        <v>82</v>
      </c>
      <c r="C15" s="15">
        <v>23</v>
      </c>
      <c r="D15" s="29">
        <v>20</v>
      </c>
      <c r="E15" s="29">
        <v>27</v>
      </c>
      <c r="F15" s="16">
        <v>0</v>
      </c>
      <c r="G15" s="14">
        <v>104</v>
      </c>
      <c r="H15" s="50"/>
      <c r="I15" s="15">
        <v>131</v>
      </c>
      <c r="J15" s="16">
        <v>0</v>
      </c>
      <c r="K15" s="17">
        <v>48</v>
      </c>
      <c r="L15" s="15">
        <v>18</v>
      </c>
      <c r="M15" s="12">
        <v>73</v>
      </c>
      <c r="N15" s="17">
        <v>82</v>
      </c>
    </row>
    <row r="16" spans="2:14" ht="15" thickBot="1" x14ac:dyDescent="0.4">
      <c r="B16" s="2" t="s">
        <v>83</v>
      </c>
      <c r="C16" s="18">
        <v>16</v>
      </c>
      <c r="D16" s="30">
        <v>34</v>
      </c>
      <c r="E16" s="30">
        <v>12</v>
      </c>
      <c r="F16" s="19">
        <v>19</v>
      </c>
      <c r="G16" s="21">
        <v>29</v>
      </c>
      <c r="H16" s="51"/>
      <c r="I16" s="18">
        <v>0</v>
      </c>
      <c r="J16" s="19">
        <v>0</v>
      </c>
      <c r="K16" s="21">
        <v>0</v>
      </c>
      <c r="L16" s="18">
        <v>23</v>
      </c>
      <c r="M16" s="19">
        <v>62</v>
      </c>
      <c r="N16" s="21">
        <v>25</v>
      </c>
    </row>
    <row r="17" spans="2:14" x14ac:dyDescent="0.35">
      <c r="B17" s="1" t="s">
        <v>8</v>
      </c>
      <c r="C17" s="22">
        <f>SUM(C5:C16)</f>
        <v>241</v>
      </c>
      <c r="D17" s="22"/>
      <c r="E17" s="22"/>
      <c r="F17" s="22">
        <f t="shared" ref="F17:N17" si="0">SUM(F5:F16)</f>
        <v>530</v>
      </c>
      <c r="G17" s="22">
        <f t="shared" si="0"/>
        <v>952</v>
      </c>
      <c r="H17" s="22"/>
      <c r="I17" s="22">
        <f t="shared" si="0"/>
        <v>1698</v>
      </c>
      <c r="J17" s="22">
        <f t="shared" si="0"/>
        <v>572</v>
      </c>
      <c r="K17" s="22">
        <f t="shared" si="0"/>
        <v>609</v>
      </c>
      <c r="L17" s="23">
        <f t="shared" si="0"/>
        <v>907</v>
      </c>
      <c r="M17" s="23">
        <f t="shared" si="0"/>
        <v>1000</v>
      </c>
      <c r="N17" s="23">
        <f t="shared" si="0"/>
        <v>723</v>
      </c>
    </row>
  </sheetData>
  <mergeCells count="4">
    <mergeCell ref="C2:N2"/>
    <mergeCell ref="C3:G3"/>
    <mergeCell ref="I3:K3"/>
    <mergeCell ref="L3:N3"/>
  </mergeCells>
  <conditionalFormatting sqref="C5:N16">
    <cfRule type="cellIs" dxfId="0" priority="3" operator="equal">
      <formula>0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Dominicana</vt:lpstr>
      <vt:lpstr>Costa Rica</vt:lpstr>
      <vt:lpstr>El Salvador</vt:lpstr>
      <vt:lpstr>Guatemala</vt:lpstr>
      <vt:lpstr>Honduras</vt:lpstr>
      <vt:lpstr>Nicaragua</vt:lpstr>
      <vt:lpstr>Panamá</vt:lpstr>
      <vt:lpstr>Ecuador</vt:lpstr>
      <vt:lpstr>México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 Olicón</dc:creator>
  <cp:lastModifiedBy>Jacqueline Olicón</cp:lastModifiedBy>
  <dcterms:created xsi:type="dcterms:W3CDTF">2026-02-13T14:58:15Z</dcterms:created>
  <dcterms:modified xsi:type="dcterms:W3CDTF">2026-07-20T20:08:56Z</dcterms:modified>
</cp:coreProperties>
</file>