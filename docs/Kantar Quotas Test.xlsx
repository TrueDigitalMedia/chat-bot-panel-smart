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xico" sheetId="1" r:id="rId5"/>
    <sheet state="visible" name="Ecuador" sheetId="2" r:id="rId6"/>
    <sheet state="visible" name="CAM" sheetId="3" r:id="rId7"/>
  </sheets>
  <definedNames>
    <definedName hidden="1" localSheetId="2" name="_xlnm._FilterDatabase">CAM!$A$1:$Z$36</definedName>
  </definedNames>
  <calcPr/>
</workbook>
</file>

<file path=xl/sharedStrings.xml><?xml version="1.0" encoding="utf-8"?>
<sst xmlns="http://schemas.openxmlformats.org/spreadsheetml/2006/main" count="133" uniqueCount="76">
  <si>
    <t>REGIÓN</t>
  </si>
  <si>
    <t>AB</t>
  </si>
  <si>
    <t>C+</t>
  </si>
  <si>
    <t>C</t>
  </si>
  <si>
    <t>D+</t>
  </si>
  <si>
    <t>D/E</t>
  </si>
  <si>
    <t>Objetivo</t>
  </si>
  <si>
    <t>Conseguidos</t>
  </si>
  <si>
    <t>Disponibles</t>
  </si>
  <si>
    <t>NORESTE</t>
  </si>
  <si>
    <t>NOROESTE</t>
  </si>
  <si>
    <t>TIJUANA</t>
  </si>
  <si>
    <t>SURESTE</t>
  </si>
  <si>
    <t>GUADALAJARA</t>
  </si>
  <si>
    <t>TOTAL</t>
  </si>
  <si>
    <t>A</t>
  </si>
  <si>
    <t>B</t>
  </si>
  <si>
    <t>D</t>
  </si>
  <si>
    <t>E</t>
  </si>
  <si>
    <t>Costa Norte</t>
  </si>
  <si>
    <t>Costa Sur</t>
  </si>
  <si>
    <t>Guayaquil Sur</t>
  </si>
  <si>
    <t>Quito Norte</t>
  </si>
  <si>
    <t>Quito Sur</t>
  </si>
  <si>
    <t>Santo Domingo</t>
  </si>
  <si>
    <t>Zona Periferia GYE</t>
  </si>
  <si>
    <t>Zona Periferia/Valles</t>
  </si>
  <si>
    <t xml:space="preserve"> </t>
  </si>
  <si>
    <t>Nivel 1</t>
  </si>
  <si>
    <t>Nivel 2</t>
  </si>
  <si>
    <t>Nivel 3</t>
  </si>
  <si>
    <t>Nivel 4</t>
  </si>
  <si>
    <t>Costa Rica - Area metropolitana I</t>
  </si>
  <si>
    <t>Cuota solicitada CR</t>
  </si>
  <si>
    <t>Cuota solicitada HN</t>
  </si>
  <si>
    <t>Costa Rica - Area metropolitana II</t>
  </si>
  <si>
    <t>Costa Rica - Area metropolitana III</t>
  </si>
  <si>
    <t>Leads Conseguidos</t>
  </si>
  <si>
    <t>Costa Rica - Norte</t>
  </si>
  <si>
    <t>Costa Rica - Sur occidente</t>
  </si>
  <si>
    <t>Cuota pendiente</t>
  </si>
  <si>
    <t>El Salvador - Centro I</t>
  </si>
  <si>
    <t>El Salvador - Centro II</t>
  </si>
  <si>
    <t>Cuota solicitada SV</t>
  </si>
  <si>
    <t>Cuota solicitada NI</t>
  </si>
  <si>
    <t>El Salvador - Centro III</t>
  </si>
  <si>
    <t>El Salvador - NorOriente</t>
  </si>
  <si>
    <t>El Salvador - Occidente</t>
  </si>
  <si>
    <t>Guatemala - Centro I</t>
  </si>
  <si>
    <t>Guatemala - Centro II</t>
  </si>
  <si>
    <t>Guatemala - NorOriente</t>
  </si>
  <si>
    <t>Cuota solicitada GT</t>
  </si>
  <si>
    <t>Cuota solicitada PA</t>
  </si>
  <si>
    <t>Guatemala - Resto Centro</t>
  </si>
  <si>
    <t>Guatemala - Sur Occidente Chico</t>
  </si>
  <si>
    <t>Guatemala - Sur Occidente Grande</t>
  </si>
  <si>
    <t>Honduras - Centro I</t>
  </si>
  <si>
    <t>Honduras - Centro II</t>
  </si>
  <si>
    <t>Honduras - Nor Occidente I</t>
  </si>
  <si>
    <t>Cuota solicitada RD</t>
  </si>
  <si>
    <t>Honduras - Nor Occidente II</t>
  </si>
  <si>
    <t>DATO GENERAL</t>
  </si>
  <si>
    <t>Honduras - Sur Oriente</t>
  </si>
  <si>
    <t>Cuota solicitada</t>
  </si>
  <si>
    <t>Nicaragua - Norcentral</t>
  </si>
  <si>
    <t>Nicaragua - Occidente</t>
  </si>
  <si>
    <t>Nicaragua - Sur I</t>
  </si>
  <si>
    <t>Nicaragua - Sur II</t>
  </si>
  <si>
    <t>Panama - Centro I</t>
  </si>
  <si>
    <t>Panama - Centro II</t>
  </si>
  <si>
    <t>Panama - Norte</t>
  </si>
  <si>
    <t>Panama - Occidente</t>
  </si>
  <si>
    <t>RD - Cibao Sin Santiago</t>
  </si>
  <si>
    <t>RD - Santo Domingo + Distrito Nacional</t>
  </si>
  <si>
    <t>RD - Sureste sin Santo Domingo y DN</t>
  </si>
  <si>
    <t>RD - Suroeste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</si>
</sst>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2.0"/>
      <color rgb="FF111827"/>
      <name val="Carlito"/>
    </font>
    <font>
      <b/>
      <sz val="14.0"/>
      <color rgb="FFFFFFFF"/>
      <name val="Carlito"/>
    </font>
    <font/>
    <font>
      <b/>
      <sz val="11.0"/>
      <color rgb="FF000000"/>
      <name val="Carlito"/>
    </font>
    <font>
      <b/>
      <sz val="11.0"/>
      <color rgb="FF111827"/>
      <name val="Carlito"/>
    </font>
    <font>
      <sz val="11.0"/>
      <color rgb="FF000000"/>
      <name val="Carlito"/>
    </font>
    <font>
      <b/>
      <sz val="12.0"/>
      <color rgb="FFFFFFFF"/>
      <name val="Carlito"/>
    </font>
    <font>
      <b/>
      <sz val="12.0"/>
      <color theme="1"/>
      <name val="Carlito"/>
      <scheme val="minor"/>
    </font>
    <font>
      <b/>
      <sz val="12.0"/>
      <color theme="1"/>
      <name val="Carlito"/>
    </font>
    <font>
      <b/>
      <sz val="14.0"/>
      <color theme="1"/>
      <name val="Carlito"/>
      <scheme val="minor"/>
    </font>
    <font>
      <b/>
      <sz val="14.0"/>
      <color theme="1"/>
      <name val="Carlito"/>
    </font>
    <font>
      <b/>
      <sz val="13.0"/>
      <color theme="1"/>
      <name val="Carlito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4E79C6"/>
        <bgColor rgb="FF4E79C6"/>
      </patternFill>
    </fill>
    <fill>
      <patternFill patternType="solid">
        <fgColor rgb="FFD9E7FF"/>
        <bgColor rgb="FFD9E7FF"/>
      </patternFill>
    </fill>
    <fill>
      <patternFill patternType="solid">
        <fgColor rgb="FFCFF7E8"/>
        <bgColor rgb="FFCFF7E8"/>
      </patternFill>
    </fill>
    <fill>
      <patternFill patternType="solid">
        <fgColor rgb="FFFFECC7"/>
        <bgColor rgb="FFFFECC7"/>
      </patternFill>
    </fill>
    <fill>
      <patternFill patternType="solid">
        <fgColor rgb="FFEEF4FF"/>
        <bgColor rgb="FFEEF4FF"/>
      </patternFill>
    </fill>
    <fill>
      <patternFill patternType="solid">
        <fgColor rgb="FFECFDF5"/>
        <bgColor rgb="FFECFDF5"/>
      </patternFill>
    </fill>
    <fill>
      <patternFill patternType="solid">
        <fgColor rgb="FFFFF7E6"/>
        <bgColor rgb="FFFFF7E6"/>
      </patternFill>
    </fill>
    <fill>
      <patternFill patternType="solid">
        <fgColor rgb="FF4F7AC7"/>
        <bgColor rgb="FF4F7AC7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7">
    <border/>
    <border>
      <left/>
      <right style="medium">
        <color rgb="FF111827"/>
      </right>
      <top/>
      <bottom style="thin">
        <color rgb="FF1F2937"/>
      </bottom>
    </border>
    <border>
      <left style="thin">
        <color rgb="FF1F2937"/>
      </left>
      <top/>
      <bottom style="thin">
        <color rgb="FF1F2937"/>
      </bottom>
    </border>
    <border>
      <top/>
      <bottom style="thin">
        <color rgb="FF1F2937"/>
      </bottom>
    </border>
    <border>
      <right style="medium">
        <color rgb="FF111827"/>
      </right>
      <top/>
      <bottom style="thin">
        <color rgb="FF1F2937"/>
      </bottom>
    </border>
    <border>
      <left/>
      <right style="medium">
        <color rgb="FF111827"/>
      </right>
      <top style="thin">
        <color rgb="FF1F2937"/>
      </top>
      <bottom style="medium">
        <color rgb="FF111827"/>
      </bottom>
    </border>
    <border>
      <left style="thin">
        <color rgb="FF1F2937"/>
      </left>
      <right style="thin">
        <color rgb="FF1F2937"/>
      </right>
      <top style="thin">
        <color rgb="FF1F2937"/>
      </top>
      <bottom style="medium">
        <color rgb="FF111827"/>
      </bottom>
    </border>
    <border>
      <left style="thin">
        <color rgb="FF1F2937"/>
      </left>
      <right style="medium">
        <color rgb="FF111827"/>
      </right>
      <top style="thin">
        <color rgb="FF1F2937"/>
      </top>
      <bottom style="medium">
        <color rgb="FF111827"/>
      </bottom>
    </border>
    <border>
      <left/>
      <right style="medium">
        <color rgb="FF111827"/>
      </right>
      <top style="thin">
        <color rgb="FF1F2937"/>
      </top>
      <bottom style="thin">
        <color rgb="FF1F2937"/>
      </bottom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  <border>
      <left style="thin">
        <color rgb="FF1F2937"/>
      </left>
      <right style="medium">
        <color rgb="FF111827"/>
      </right>
      <top style="thin">
        <color rgb="FF1F2937"/>
      </top>
      <bottom style="thin">
        <color rgb="FF1F2937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horizontal="left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7" fillId="6" fontId="5" numFmtId="0" xfId="0" applyAlignment="1" applyBorder="1" applyFill="1" applyFont="1">
      <alignment horizontal="center"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9" fillId="7" fontId="6" numFmtId="1" xfId="0" applyAlignment="1" applyBorder="1" applyFill="1" applyFont="1" applyNumberFormat="1">
      <alignment horizontal="center" readingOrder="0" shrinkToFit="0" vertical="center" wrapText="1"/>
    </xf>
    <xf borderId="9" fillId="8" fontId="6" numFmtId="1" xfId="0" applyAlignment="1" applyBorder="1" applyFill="1" applyFont="1" applyNumberFormat="1">
      <alignment horizontal="center" readingOrder="0" shrinkToFit="0" vertical="center" wrapText="1"/>
    </xf>
    <xf borderId="10" fillId="9" fontId="6" numFmtId="1" xfId="0" applyAlignment="1" applyBorder="1" applyFill="1" applyFont="1" applyNumberFormat="1">
      <alignment horizontal="center" shrinkToFit="0" vertical="center" wrapText="1"/>
    </xf>
    <xf borderId="8" fillId="2" fontId="5" numFmtId="0" xfId="0" applyAlignment="1" applyBorder="1" applyFont="1">
      <alignment horizontal="left" readingOrder="0" shrinkToFit="0" vertical="center" wrapText="1"/>
    </xf>
    <xf borderId="8" fillId="10" fontId="7" numFmtId="0" xfId="0" applyAlignment="1" applyBorder="1" applyFill="1" applyFont="1">
      <alignment horizontal="center" shrinkToFit="0" vertical="center" wrapText="1"/>
    </xf>
    <xf borderId="9" fillId="10" fontId="7" numFmtId="1" xfId="0" applyAlignment="1" applyBorder="1" applyFont="1" applyNumberFormat="1">
      <alignment horizontal="center" shrinkToFit="0" vertical="center" wrapText="1"/>
    </xf>
    <xf borderId="10" fillId="10" fontId="7" numFmtId="1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0" fillId="6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left" readingOrder="0" shrinkToFit="0" vertical="center" wrapText="1"/>
    </xf>
    <xf borderId="6" fillId="7" fontId="6" numFmtId="1" xfId="0" applyAlignment="1" applyBorder="1" applyFont="1" applyNumberFormat="1">
      <alignment horizontal="center" readingOrder="0" shrinkToFit="0" vertical="center" wrapText="1"/>
    </xf>
    <xf borderId="6" fillId="8" fontId="6" numFmtId="1" xfId="0" applyAlignment="1" applyBorder="1" applyFont="1" applyNumberFormat="1">
      <alignment horizontal="center" readingOrder="0" shrinkToFit="0" vertical="center" wrapText="1"/>
    </xf>
    <xf borderId="7" fillId="9" fontId="6" numFmtId="1" xfId="0" applyAlignment="1" applyBorder="1" applyFont="1" applyNumberFormat="1">
      <alignment horizontal="center" shrinkToFit="0" vertical="center" wrapText="1"/>
    </xf>
    <xf borderId="11" fillId="11" fontId="8" numFmtId="0" xfId="0" applyAlignment="1" applyBorder="1" applyFill="1" applyFont="1">
      <alignment horizontal="center" readingOrder="0"/>
    </xf>
    <xf borderId="12" fillId="0" fontId="3" numFmtId="0" xfId="0" applyBorder="1" applyFont="1"/>
    <xf borderId="11" fillId="11" fontId="9" numFmtId="0" xfId="0" applyAlignment="1" applyBorder="1" applyFont="1">
      <alignment horizontal="center" vertical="bottom"/>
    </xf>
    <xf borderId="13" fillId="0" fontId="10" numFmtId="1" xfId="0" applyAlignment="1" applyBorder="1" applyFont="1" applyNumberFormat="1">
      <alignment horizontal="center"/>
    </xf>
    <xf borderId="14" fillId="0" fontId="3" numFmtId="0" xfId="0" applyBorder="1" applyFont="1"/>
    <xf borderId="13" fillId="0" fontId="11" numFmtId="1" xfId="0" applyAlignment="1" applyBorder="1" applyFont="1" applyNumberFormat="1">
      <alignment horizontal="center" vertical="bottom"/>
    </xf>
    <xf borderId="13" fillId="0" fontId="8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center" vertical="bottom"/>
    </xf>
    <xf borderId="15" fillId="0" fontId="10" numFmtId="1" xfId="0" applyAlignment="1" applyBorder="1" applyFont="1" applyNumberFormat="1">
      <alignment horizontal="center"/>
    </xf>
    <xf borderId="16" fillId="0" fontId="3" numFmtId="0" xfId="0" applyBorder="1" applyFont="1"/>
    <xf borderId="15" fillId="0" fontId="11" numFmtId="1" xfId="0" applyAlignment="1" applyBorder="1" applyFont="1" applyNumberFormat="1">
      <alignment horizontal="center" vertical="bottom"/>
    </xf>
    <xf borderId="11" fillId="12" fontId="12" numFmtId="0" xfId="0" applyAlignment="1" applyBorder="1" applyFill="1" applyFont="1">
      <alignment horizontal="center" readingOrder="0"/>
    </xf>
    <xf borderId="11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>
        <b/>
        <color rgb="FF991B1B"/>
      </font>
      <fill>
        <patternFill patternType="solid">
          <fgColor rgb="FFFECACA"/>
          <bgColor rgb="FFFECACA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16" width="13.0"/>
    <col customWidth="1" min="17" max="26" width="8.63"/>
  </cols>
  <sheetData>
    <row r="1" ht="30.0" customHeight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2" t="s">
        <v>5</v>
      </c>
      <c r="O1" s="3"/>
      <c r="P1" s="4"/>
    </row>
    <row r="2" ht="24.0" customHeight="1">
      <c r="A2" s="5"/>
      <c r="B2" s="6" t="s">
        <v>6</v>
      </c>
      <c r="C2" s="7" t="s">
        <v>7</v>
      </c>
      <c r="D2" s="8" t="s">
        <v>8</v>
      </c>
      <c r="E2" s="6" t="s">
        <v>6</v>
      </c>
      <c r="F2" s="7" t="s">
        <v>7</v>
      </c>
      <c r="G2" s="8" t="s">
        <v>8</v>
      </c>
      <c r="H2" s="6" t="s">
        <v>6</v>
      </c>
      <c r="I2" s="7" t="s">
        <v>7</v>
      </c>
      <c r="J2" s="8" t="s">
        <v>8</v>
      </c>
      <c r="K2" s="6" t="s">
        <v>6</v>
      </c>
      <c r="L2" s="7" t="s">
        <v>7</v>
      </c>
      <c r="M2" s="8" t="s">
        <v>8</v>
      </c>
      <c r="N2" s="6" t="s">
        <v>6</v>
      </c>
      <c r="O2" s="7" t="s">
        <v>7</v>
      </c>
      <c r="P2" s="8" t="s">
        <v>8</v>
      </c>
    </row>
    <row r="3" ht="21.0" customHeight="1">
      <c r="A3" s="9" t="s">
        <v>9</v>
      </c>
      <c r="B3" s="10">
        <v>15.0</v>
      </c>
      <c r="C3" s="11">
        <v>0.0</v>
      </c>
      <c r="D3" s="12">
        <f t="shared" ref="D3:D7" si="1">B3-C3</f>
        <v>15</v>
      </c>
      <c r="E3" s="10">
        <v>25.0</v>
      </c>
      <c r="F3" s="11">
        <v>0.0</v>
      </c>
      <c r="G3" s="12">
        <f t="shared" ref="G3:G7" si="2">E3-F3</f>
        <v>25</v>
      </c>
      <c r="H3" s="10">
        <v>30.0</v>
      </c>
      <c r="I3" s="11">
        <v>0.0</v>
      </c>
      <c r="J3" s="12">
        <f t="shared" ref="J3:J7" si="3">H3-I3</f>
        <v>30</v>
      </c>
      <c r="K3" s="10">
        <v>30.0</v>
      </c>
      <c r="L3" s="11">
        <v>0.0</v>
      </c>
      <c r="M3" s="12">
        <f t="shared" ref="M3:M7" si="4">K3-L3</f>
        <v>30</v>
      </c>
      <c r="N3" s="10">
        <v>43.0</v>
      </c>
      <c r="O3" s="11">
        <v>0.0</v>
      </c>
      <c r="P3" s="12">
        <f t="shared" ref="P3:P7" si="5">N3-O3</f>
        <v>43</v>
      </c>
    </row>
    <row r="4" ht="21.0" customHeight="1">
      <c r="A4" s="13" t="s">
        <v>10</v>
      </c>
      <c r="B4" s="10">
        <v>15.0</v>
      </c>
      <c r="C4" s="11">
        <v>0.0</v>
      </c>
      <c r="D4" s="12">
        <f t="shared" si="1"/>
        <v>15</v>
      </c>
      <c r="E4" s="10">
        <v>20.0</v>
      </c>
      <c r="F4" s="11">
        <v>0.0</v>
      </c>
      <c r="G4" s="12">
        <f t="shared" si="2"/>
        <v>20</v>
      </c>
      <c r="H4" s="10">
        <v>20.0</v>
      </c>
      <c r="I4" s="11">
        <v>0.0</v>
      </c>
      <c r="J4" s="12">
        <f t="shared" si="3"/>
        <v>20</v>
      </c>
      <c r="K4" s="10">
        <v>25.0</v>
      </c>
      <c r="L4" s="11">
        <v>0.0</v>
      </c>
      <c r="M4" s="12">
        <f t="shared" si="4"/>
        <v>25</v>
      </c>
      <c r="N4" s="10">
        <v>40.0</v>
      </c>
      <c r="O4" s="11">
        <v>0.0</v>
      </c>
      <c r="P4" s="12">
        <f t="shared" si="5"/>
        <v>40</v>
      </c>
    </row>
    <row r="5" ht="21.0" customHeight="1">
      <c r="A5" s="13" t="s">
        <v>11</v>
      </c>
      <c r="B5" s="10">
        <v>10.0</v>
      </c>
      <c r="C5" s="11">
        <v>0.0</v>
      </c>
      <c r="D5" s="12">
        <f t="shared" si="1"/>
        <v>10</v>
      </c>
      <c r="E5" s="10">
        <v>10.0</v>
      </c>
      <c r="F5" s="11">
        <v>0.0</v>
      </c>
      <c r="G5" s="12">
        <f t="shared" si="2"/>
        <v>10</v>
      </c>
      <c r="H5" s="10">
        <v>10.0</v>
      </c>
      <c r="I5" s="11">
        <v>0.0</v>
      </c>
      <c r="J5" s="12">
        <f t="shared" si="3"/>
        <v>10</v>
      </c>
      <c r="K5" s="10">
        <v>10.0</v>
      </c>
      <c r="L5" s="11">
        <v>0.0</v>
      </c>
      <c r="M5" s="12">
        <f t="shared" si="4"/>
        <v>10</v>
      </c>
      <c r="N5" s="10">
        <v>20.0</v>
      </c>
      <c r="O5" s="11">
        <v>0.0</v>
      </c>
      <c r="P5" s="12">
        <f t="shared" si="5"/>
        <v>20</v>
      </c>
    </row>
    <row r="6" ht="21.0" customHeight="1">
      <c r="A6" s="9" t="s">
        <v>12</v>
      </c>
      <c r="B6" s="10">
        <v>5.0</v>
      </c>
      <c r="C6" s="11">
        <v>0.0</v>
      </c>
      <c r="D6" s="12">
        <f t="shared" si="1"/>
        <v>5</v>
      </c>
      <c r="E6" s="10">
        <v>10.0</v>
      </c>
      <c r="F6" s="11">
        <v>0.0</v>
      </c>
      <c r="G6" s="12">
        <f t="shared" si="2"/>
        <v>10</v>
      </c>
      <c r="H6" s="10">
        <v>7.0</v>
      </c>
      <c r="I6" s="11">
        <v>0.0</v>
      </c>
      <c r="J6" s="12">
        <f t="shared" si="3"/>
        <v>7</v>
      </c>
      <c r="K6" s="10">
        <v>0.0</v>
      </c>
      <c r="L6" s="11">
        <v>0.0</v>
      </c>
      <c r="M6" s="12">
        <f t="shared" si="4"/>
        <v>0</v>
      </c>
      <c r="N6" s="10">
        <v>20.0</v>
      </c>
      <c r="O6" s="11">
        <v>0.0</v>
      </c>
      <c r="P6" s="12">
        <f t="shared" si="5"/>
        <v>20</v>
      </c>
    </row>
    <row r="7" ht="21.0" customHeight="1">
      <c r="A7" s="13" t="s">
        <v>13</v>
      </c>
      <c r="B7" s="10">
        <v>0.0</v>
      </c>
      <c r="C7" s="11">
        <v>0.0</v>
      </c>
      <c r="D7" s="12">
        <f t="shared" si="1"/>
        <v>0</v>
      </c>
      <c r="E7" s="10">
        <v>8.0</v>
      </c>
      <c r="F7" s="11">
        <v>0.0</v>
      </c>
      <c r="G7" s="12">
        <f t="shared" si="2"/>
        <v>8</v>
      </c>
      <c r="H7" s="10">
        <v>6.0</v>
      </c>
      <c r="I7" s="11">
        <v>0.0</v>
      </c>
      <c r="J7" s="12">
        <f t="shared" si="3"/>
        <v>6</v>
      </c>
      <c r="K7" s="10">
        <v>8.0</v>
      </c>
      <c r="L7" s="11">
        <v>0.0</v>
      </c>
      <c r="M7" s="12">
        <f t="shared" si="4"/>
        <v>8</v>
      </c>
      <c r="N7" s="10">
        <v>15.0</v>
      </c>
      <c r="O7" s="11">
        <v>0.0</v>
      </c>
      <c r="P7" s="12">
        <f t="shared" si="5"/>
        <v>15</v>
      </c>
    </row>
    <row r="8" ht="21.0" customHeight="1">
      <c r="A8" s="14" t="s">
        <v>14</v>
      </c>
      <c r="B8" s="15">
        <f t="shared" ref="B8:P8" si="6">SUM(B3:B7)</f>
        <v>45</v>
      </c>
      <c r="C8" s="15">
        <f t="shared" si="6"/>
        <v>0</v>
      </c>
      <c r="D8" s="16">
        <f t="shared" si="6"/>
        <v>45</v>
      </c>
      <c r="E8" s="15">
        <f t="shared" si="6"/>
        <v>73</v>
      </c>
      <c r="F8" s="15">
        <f t="shared" si="6"/>
        <v>0</v>
      </c>
      <c r="G8" s="16">
        <f t="shared" si="6"/>
        <v>73</v>
      </c>
      <c r="H8" s="15">
        <f t="shared" si="6"/>
        <v>73</v>
      </c>
      <c r="I8" s="15">
        <f t="shared" si="6"/>
        <v>0</v>
      </c>
      <c r="J8" s="16">
        <f t="shared" si="6"/>
        <v>73</v>
      </c>
      <c r="K8" s="15">
        <f t="shared" si="6"/>
        <v>73</v>
      </c>
      <c r="L8" s="15">
        <f t="shared" si="6"/>
        <v>0</v>
      </c>
      <c r="M8" s="16">
        <f t="shared" si="6"/>
        <v>73</v>
      </c>
      <c r="N8" s="15">
        <f t="shared" si="6"/>
        <v>138</v>
      </c>
      <c r="O8" s="15">
        <f t="shared" si="6"/>
        <v>0</v>
      </c>
      <c r="P8" s="16">
        <f t="shared" si="6"/>
        <v>138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B1:D1"/>
    <mergeCell ref="E1:G1"/>
    <mergeCell ref="H1:J1"/>
    <mergeCell ref="K1:M1"/>
    <mergeCell ref="N1:P1"/>
  </mergeCells>
  <conditionalFormatting sqref="D3:D7">
    <cfRule type="cellIs" dxfId="0" priority="1" operator="lessThanOrEqual">
      <formula>0</formula>
    </cfRule>
  </conditionalFormatting>
  <conditionalFormatting sqref="D3:D7">
    <cfRule type="cellIs" dxfId="1" priority="2" operator="lessThanOrEqual">
      <formula>5</formula>
    </cfRule>
  </conditionalFormatting>
  <conditionalFormatting sqref="G3:G7">
    <cfRule type="cellIs" dxfId="0" priority="3" operator="lessThanOrEqual">
      <formula>0</formula>
    </cfRule>
  </conditionalFormatting>
  <conditionalFormatting sqref="G3:G7">
    <cfRule type="cellIs" dxfId="1" priority="4" operator="lessThanOrEqual">
      <formula>5</formula>
    </cfRule>
  </conditionalFormatting>
  <conditionalFormatting sqref="J3:J7">
    <cfRule type="cellIs" dxfId="0" priority="5" operator="lessThanOrEqual">
      <formula>0</formula>
    </cfRule>
  </conditionalFormatting>
  <conditionalFormatting sqref="J3:J7">
    <cfRule type="cellIs" dxfId="1" priority="6" operator="lessThanOrEqual">
      <formula>5</formula>
    </cfRule>
  </conditionalFormatting>
  <conditionalFormatting sqref="M3:M7">
    <cfRule type="cellIs" dxfId="0" priority="7" operator="lessThanOrEqual">
      <formula>0</formula>
    </cfRule>
  </conditionalFormatting>
  <conditionalFormatting sqref="M3:M7">
    <cfRule type="cellIs" dxfId="1" priority="8" operator="lessThanOrEqual">
      <formula>5</formula>
    </cfRule>
  </conditionalFormatting>
  <conditionalFormatting sqref="P3:P7">
    <cfRule type="cellIs" dxfId="0" priority="9" operator="lessThanOrEqual">
      <formula>0</formula>
    </cfRule>
  </conditionalFormatting>
  <conditionalFormatting sqref="P3:P7">
    <cfRule type="cellIs" dxfId="1" priority="10" operator="lessThanOrEqual"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16" width="13.0"/>
    <col customWidth="1" min="17" max="26" width="8.63"/>
  </cols>
  <sheetData>
    <row r="1" ht="30.0" customHeight="1">
      <c r="A1" s="1" t="s">
        <v>0</v>
      </c>
      <c r="B1" s="2" t="s">
        <v>15</v>
      </c>
      <c r="C1" s="3"/>
      <c r="D1" s="4"/>
      <c r="E1" s="2" t="s">
        <v>16</v>
      </c>
      <c r="F1" s="3"/>
      <c r="G1" s="4"/>
      <c r="H1" s="2" t="s">
        <v>3</v>
      </c>
      <c r="I1" s="3"/>
      <c r="J1" s="4"/>
      <c r="K1" s="2" t="s">
        <v>17</v>
      </c>
      <c r="L1" s="3"/>
      <c r="M1" s="4"/>
      <c r="N1" s="2" t="s">
        <v>18</v>
      </c>
      <c r="O1" s="3"/>
      <c r="P1" s="4"/>
    </row>
    <row r="2" ht="24.0" customHeight="1">
      <c r="A2" s="5"/>
      <c r="B2" s="6" t="s">
        <v>6</v>
      </c>
      <c r="C2" s="7" t="s">
        <v>7</v>
      </c>
      <c r="D2" s="8" t="s">
        <v>8</v>
      </c>
      <c r="E2" s="6" t="s">
        <v>6</v>
      </c>
      <c r="F2" s="7" t="s">
        <v>7</v>
      </c>
      <c r="G2" s="8" t="s">
        <v>8</v>
      </c>
      <c r="H2" s="6" t="s">
        <v>6</v>
      </c>
      <c r="I2" s="7" t="s">
        <v>7</v>
      </c>
      <c r="J2" s="8" t="s">
        <v>8</v>
      </c>
      <c r="K2" s="6" t="s">
        <v>6</v>
      </c>
      <c r="L2" s="7" t="s">
        <v>7</v>
      </c>
      <c r="M2" s="8" t="s">
        <v>8</v>
      </c>
      <c r="N2" s="6" t="s">
        <v>6</v>
      </c>
      <c r="O2" s="7" t="s">
        <v>7</v>
      </c>
      <c r="P2" s="8" t="s">
        <v>8</v>
      </c>
    </row>
    <row r="3" ht="21.0" customHeight="1">
      <c r="A3" s="9" t="s">
        <v>19</v>
      </c>
      <c r="B3" s="10">
        <v>10.0</v>
      </c>
      <c r="C3" s="11">
        <v>0.0</v>
      </c>
      <c r="D3" s="12">
        <f t="shared" ref="D3:D10" si="1">B3-C3</f>
        <v>10</v>
      </c>
      <c r="E3" s="10">
        <v>0.0</v>
      </c>
      <c r="F3" s="11">
        <v>0.0</v>
      </c>
      <c r="G3" s="12">
        <f t="shared" ref="G3:G10" si="2">E3-F3</f>
        <v>0</v>
      </c>
      <c r="H3" s="10">
        <v>11.0</v>
      </c>
      <c r="I3" s="11">
        <v>0.0</v>
      </c>
      <c r="J3" s="12">
        <f t="shared" ref="J3:J10" si="3">H3-I3</f>
        <v>11</v>
      </c>
      <c r="K3" s="10">
        <v>0.0</v>
      </c>
      <c r="L3" s="11">
        <v>0.0</v>
      </c>
      <c r="M3" s="12">
        <f t="shared" ref="M3:M10" si="4">K3-L3</f>
        <v>0</v>
      </c>
      <c r="N3" s="10">
        <v>0.0</v>
      </c>
      <c r="O3" s="11">
        <v>0.0</v>
      </c>
      <c r="P3" s="12">
        <f t="shared" ref="P3:P10" si="5">N3-O3</f>
        <v>0</v>
      </c>
    </row>
    <row r="4" ht="21.0" customHeight="1">
      <c r="A4" s="9" t="s">
        <v>20</v>
      </c>
      <c r="B4" s="10">
        <v>10.0</v>
      </c>
      <c r="C4" s="11">
        <v>0.0</v>
      </c>
      <c r="D4" s="12">
        <f t="shared" si="1"/>
        <v>10</v>
      </c>
      <c r="E4" s="10">
        <v>0.0</v>
      </c>
      <c r="F4" s="11">
        <v>0.0</v>
      </c>
      <c r="G4" s="12">
        <f t="shared" si="2"/>
        <v>0</v>
      </c>
      <c r="H4" s="10">
        <v>2.0</v>
      </c>
      <c r="I4" s="11">
        <v>0.0</v>
      </c>
      <c r="J4" s="12">
        <f t="shared" si="3"/>
        <v>2</v>
      </c>
      <c r="K4" s="10">
        <v>0.0</v>
      </c>
      <c r="L4" s="11">
        <v>0.0</v>
      </c>
      <c r="M4" s="12">
        <f t="shared" si="4"/>
        <v>0</v>
      </c>
      <c r="N4" s="10">
        <v>0.0</v>
      </c>
      <c r="O4" s="11">
        <v>0.0</v>
      </c>
      <c r="P4" s="12">
        <f t="shared" si="5"/>
        <v>0</v>
      </c>
    </row>
    <row r="5" ht="21.0" customHeight="1">
      <c r="A5" s="9" t="s">
        <v>21</v>
      </c>
      <c r="B5" s="10">
        <v>30.0</v>
      </c>
      <c r="C5" s="11">
        <v>0.0</v>
      </c>
      <c r="D5" s="12">
        <f t="shared" si="1"/>
        <v>30</v>
      </c>
      <c r="E5" s="10">
        <v>0.0</v>
      </c>
      <c r="F5" s="11">
        <v>0.0</v>
      </c>
      <c r="G5" s="12">
        <f t="shared" si="2"/>
        <v>0</v>
      </c>
      <c r="H5" s="10">
        <v>0.0</v>
      </c>
      <c r="I5" s="11">
        <v>0.0</v>
      </c>
      <c r="J5" s="12">
        <f t="shared" si="3"/>
        <v>0</v>
      </c>
      <c r="K5" s="10">
        <v>0.0</v>
      </c>
      <c r="L5" s="11">
        <v>0.0</v>
      </c>
      <c r="M5" s="12">
        <f t="shared" si="4"/>
        <v>0</v>
      </c>
      <c r="N5" s="10">
        <v>0.0</v>
      </c>
      <c r="O5" s="11">
        <v>0.0</v>
      </c>
      <c r="P5" s="12">
        <f t="shared" si="5"/>
        <v>0</v>
      </c>
    </row>
    <row r="6" ht="21.0" customHeight="1">
      <c r="A6" s="9" t="s">
        <v>22</v>
      </c>
      <c r="B6" s="10">
        <v>6.0</v>
      </c>
      <c r="C6" s="11">
        <v>0.0</v>
      </c>
      <c r="D6" s="12">
        <f t="shared" si="1"/>
        <v>6</v>
      </c>
      <c r="E6" s="10">
        <v>0.0</v>
      </c>
      <c r="F6" s="11">
        <v>0.0</v>
      </c>
      <c r="G6" s="12">
        <f t="shared" si="2"/>
        <v>0</v>
      </c>
      <c r="H6" s="10">
        <v>0.0</v>
      </c>
      <c r="I6" s="11">
        <v>0.0</v>
      </c>
      <c r="J6" s="12">
        <f t="shared" si="3"/>
        <v>0</v>
      </c>
      <c r="K6" s="10">
        <v>0.0</v>
      </c>
      <c r="L6" s="11">
        <v>0.0</v>
      </c>
      <c r="M6" s="12">
        <f t="shared" si="4"/>
        <v>0</v>
      </c>
      <c r="N6" s="10">
        <v>0.0</v>
      </c>
      <c r="O6" s="11">
        <v>0.0</v>
      </c>
      <c r="P6" s="12">
        <f t="shared" si="5"/>
        <v>0</v>
      </c>
    </row>
    <row r="7" ht="21.0" customHeight="1">
      <c r="A7" s="9" t="s">
        <v>23</v>
      </c>
      <c r="B7" s="10">
        <v>34.0</v>
      </c>
      <c r="C7" s="11">
        <v>0.0</v>
      </c>
      <c r="D7" s="12">
        <f t="shared" si="1"/>
        <v>34</v>
      </c>
      <c r="E7" s="10">
        <v>0.0</v>
      </c>
      <c r="F7" s="11">
        <v>0.0</v>
      </c>
      <c r="G7" s="12">
        <f t="shared" si="2"/>
        <v>0</v>
      </c>
      <c r="H7" s="10">
        <v>0.0</v>
      </c>
      <c r="I7" s="11">
        <v>0.0</v>
      </c>
      <c r="J7" s="12">
        <f t="shared" si="3"/>
        <v>0</v>
      </c>
      <c r="K7" s="10">
        <v>0.0</v>
      </c>
      <c r="L7" s="11">
        <v>0.0</v>
      </c>
      <c r="M7" s="12">
        <f t="shared" si="4"/>
        <v>0</v>
      </c>
      <c r="N7" s="10">
        <v>0.0</v>
      </c>
      <c r="O7" s="11">
        <v>0.0</v>
      </c>
      <c r="P7" s="12">
        <f t="shared" si="5"/>
        <v>0</v>
      </c>
    </row>
    <row r="8" ht="21.0" customHeight="1">
      <c r="A8" s="9" t="s">
        <v>24</v>
      </c>
      <c r="B8" s="10">
        <v>10.0</v>
      </c>
      <c r="C8" s="11">
        <v>0.0</v>
      </c>
      <c r="D8" s="12">
        <f t="shared" si="1"/>
        <v>10</v>
      </c>
      <c r="E8" s="10">
        <v>0.0</v>
      </c>
      <c r="F8" s="11">
        <v>0.0</v>
      </c>
      <c r="G8" s="12">
        <f t="shared" si="2"/>
        <v>0</v>
      </c>
      <c r="H8" s="10">
        <v>13.0</v>
      </c>
      <c r="I8" s="11">
        <v>0.0</v>
      </c>
      <c r="J8" s="12">
        <f t="shared" si="3"/>
        <v>13</v>
      </c>
      <c r="K8" s="10">
        <v>0.0</v>
      </c>
      <c r="L8" s="11">
        <v>0.0</v>
      </c>
      <c r="M8" s="12">
        <f t="shared" si="4"/>
        <v>0</v>
      </c>
      <c r="N8" s="10">
        <v>0.0</v>
      </c>
      <c r="O8" s="11">
        <v>0.0</v>
      </c>
      <c r="P8" s="12">
        <f t="shared" si="5"/>
        <v>0</v>
      </c>
    </row>
    <row r="9" ht="21.0" customHeight="1">
      <c r="A9" s="9" t="s">
        <v>25</v>
      </c>
      <c r="B9" s="10">
        <v>10.0</v>
      </c>
      <c r="C9" s="11">
        <v>0.0</v>
      </c>
      <c r="D9" s="12">
        <f t="shared" si="1"/>
        <v>10</v>
      </c>
      <c r="E9" s="10">
        <v>0.0</v>
      </c>
      <c r="F9" s="11">
        <v>0.0</v>
      </c>
      <c r="G9" s="12">
        <f t="shared" si="2"/>
        <v>0</v>
      </c>
      <c r="H9" s="10">
        <v>0.0</v>
      </c>
      <c r="I9" s="11">
        <v>0.0</v>
      </c>
      <c r="J9" s="12">
        <f t="shared" si="3"/>
        <v>0</v>
      </c>
      <c r="K9" s="10">
        <v>0.0</v>
      </c>
      <c r="L9" s="11">
        <v>0.0</v>
      </c>
      <c r="M9" s="12">
        <f t="shared" si="4"/>
        <v>0</v>
      </c>
      <c r="N9" s="10">
        <v>0.0</v>
      </c>
      <c r="O9" s="11">
        <v>0.0</v>
      </c>
      <c r="P9" s="12">
        <f t="shared" si="5"/>
        <v>0</v>
      </c>
    </row>
    <row r="10" ht="21.0" customHeight="1">
      <c r="A10" s="9" t="s">
        <v>26</v>
      </c>
      <c r="B10" s="10">
        <v>10.0</v>
      </c>
      <c r="C10" s="11">
        <v>0.0</v>
      </c>
      <c r="D10" s="12">
        <f t="shared" si="1"/>
        <v>10</v>
      </c>
      <c r="E10" s="10">
        <v>0.0</v>
      </c>
      <c r="F10" s="11">
        <v>0.0</v>
      </c>
      <c r="G10" s="12">
        <f t="shared" si="2"/>
        <v>0</v>
      </c>
      <c r="H10" s="10">
        <v>0.0</v>
      </c>
      <c r="I10" s="11">
        <v>0.0</v>
      </c>
      <c r="J10" s="12">
        <f t="shared" si="3"/>
        <v>0</v>
      </c>
      <c r="K10" s="10">
        <v>0.0</v>
      </c>
      <c r="L10" s="11">
        <v>0.0</v>
      </c>
      <c r="M10" s="12">
        <f t="shared" si="4"/>
        <v>0</v>
      </c>
      <c r="N10" s="10">
        <v>0.0</v>
      </c>
      <c r="O10" s="11">
        <v>0.0</v>
      </c>
      <c r="P10" s="12">
        <f t="shared" si="5"/>
        <v>0</v>
      </c>
    </row>
    <row r="11" ht="21.0" customHeight="1">
      <c r="A11" s="14" t="s">
        <v>14</v>
      </c>
      <c r="B11" s="15">
        <f t="shared" ref="B11:P11" si="6">SUM(B3:B10)</f>
        <v>120</v>
      </c>
      <c r="C11" s="15">
        <f t="shared" si="6"/>
        <v>0</v>
      </c>
      <c r="D11" s="16">
        <f t="shared" si="6"/>
        <v>120</v>
      </c>
      <c r="E11" s="15">
        <f t="shared" si="6"/>
        <v>0</v>
      </c>
      <c r="F11" s="15">
        <f t="shared" si="6"/>
        <v>0</v>
      </c>
      <c r="G11" s="16">
        <f t="shared" si="6"/>
        <v>0</v>
      </c>
      <c r="H11" s="15">
        <f t="shared" si="6"/>
        <v>26</v>
      </c>
      <c r="I11" s="15">
        <f t="shared" si="6"/>
        <v>0</v>
      </c>
      <c r="J11" s="16">
        <f t="shared" si="6"/>
        <v>26</v>
      </c>
      <c r="K11" s="15">
        <f t="shared" si="6"/>
        <v>0</v>
      </c>
      <c r="L11" s="15">
        <f t="shared" si="6"/>
        <v>0</v>
      </c>
      <c r="M11" s="16">
        <f t="shared" si="6"/>
        <v>0</v>
      </c>
      <c r="N11" s="15">
        <f t="shared" si="6"/>
        <v>0</v>
      </c>
      <c r="O11" s="15">
        <f t="shared" si="6"/>
        <v>0</v>
      </c>
      <c r="P11" s="16">
        <f t="shared" si="6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">
    <mergeCell ref="B1:D1"/>
    <mergeCell ref="E1:G1"/>
    <mergeCell ref="H1:J1"/>
    <mergeCell ref="K1:M1"/>
    <mergeCell ref="N1:P1"/>
  </mergeCells>
  <conditionalFormatting sqref="D3:D10">
    <cfRule type="cellIs" dxfId="0" priority="1" operator="lessThanOrEqual">
      <formula>0</formula>
    </cfRule>
  </conditionalFormatting>
  <conditionalFormatting sqref="D3:D10">
    <cfRule type="cellIs" dxfId="1" priority="2" operator="lessThanOrEqual">
      <formula>5</formula>
    </cfRule>
  </conditionalFormatting>
  <conditionalFormatting sqref="G3:G10">
    <cfRule type="cellIs" dxfId="0" priority="3" operator="lessThanOrEqual">
      <formula>0</formula>
    </cfRule>
  </conditionalFormatting>
  <conditionalFormatting sqref="G3:G10">
    <cfRule type="cellIs" dxfId="1" priority="4" operator="lessThanOrEqual">
      <formula>5</formula>
    </cfRule>
  </conditionalFormatting>
  <conditionalFormatting sqref="J3:J10">
    <cfRule type="cellIs" dxfId="0" priority="5" operator="lessThanOrEqual">
      <formula>0</formula>
    </cfRule>
  </conditionalFormatting>
  <conditionalFormatting sqref="J3:J10">
    <cfRule type="cellIs" dxfId="1" priority="6" operator="lessThanOrEqual">
      <formula>5</formula>
    </cfRule>
  </conditionalFormatting>
  <conditionalFormatting sqref="M3:M10">
    <cfRule type="cellIs" dxfId="0" priority="7" operator="lessThanOrEqual">
      <formula>0</formula>
    </cfRule>
  </conditionalFormatting>
  <conditionalFormatting sqref="M3:M10">
    <cfRule type="cellIs" dxfId="1" priority="8" operator="lessThanOrEqual">
      <formula>5</formula>
    </cfRule>
  </conditionalFormatting>
  <conditionalFormatting sqref="P3:P10">
    <cfRule type="cellIs" dxfId="0" priority="9" operator="lessThanOrEqual">
      <formula>0</formula>
    </cfRule>
  </conditionalFormatting>
  <conditionalFormatting sqref="P3:P10">
    <cfRule type="cellIs" dxfId="1" priority="10" operator="lessThanOrEqual"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13" width="13.0"/>
    <col customWidth="1" min="14" max="16" width="8.63"/>
    <col customWidth="1" min="17" max="17" width="3.38"/>
    <col customWidth="1" min="18" max="26" width="8.63"/>
  </cols>
  <sheetData>
    <row r="1" ht="30.0" customHeight="1">
      <c r="A1" s="17" t="s">
        <v>27</v>
      </c>
      <c r="B1" s="2" t="s">
        <v>28</v>
      </c>
      <c r="C1" s="3"/>
      <c r="D1" s="4"/>
      <c r="E1" s="2" t="s">
        <v>29</v>
      </c>
      <c r="F1" s="3"/>
      <c r="G1" s="4"/>
      <c r="H1" s="2" t="s">
        <v>30</v>
      </c>
      <c r="I1" s="3"/>
      <c r="J1" s="4"/>
      <c r="K1" s="2" t="s">
        <v>31</v>
      </c>
      <c r="L1" s="3"/>
      <c r="M1" s="4"/>
    </row>
    <row r="2" ht="21.0" customHeight="1">
      <c r="A2" s="18"/>
      <c r="B2" s="19" t="s">
        <v>6</v>
      </c>
      <c r="C2" s="20" t="s">
        <v>7</v>
      </c>
      <c r="D2" s="21" t="s">
        <v>8</v>
      </c>
      <c r="E2" s="19" t="s">
        <v>6</v>
      </c>
      <c r="F2" s="20" t="s">
        <v>7</v>
      </c>
      <c r="G2" s="21" t="s">
        <v>8</v>
      </c>
      <c r="H2" s="19" t="s">
        <v>6</v>
      </c>
      <c r="I2" s="20" t="s">
        <v>7</v>
      </c>
      <c r="J2" s="21" t="s">
        <v>8</v>
      </c>
      <c r="K2" s="19" t="s">
        <v>6</v>
      </c>
      <c r="L2" s="20" t="s">
        <v>7</v>
      </c>
      <c r="M2" s="21" t="s">
        <v>8</v>
      </c>
    </row>
    <row r="3" ht="24.0" customHeight="1">
      <c r="A3" s="22" t="s">
        <v>32</v>
      </c>
      <c r="B3" s="23">
        <v>0.0</v>
      </c>
      <c r="C3" s="24">
        <v>0.0</v>
      </c>
      <c r="D3" s="25">
        <f t="shared" ref="D3:D35" si="1">B3-C3</f>
        <v>0</v>
      </c>
      <c r="E3" s="23">
        <v>0.0</v>
      </c>
      <c r="F3" s="24">
        <v>0.0</v>
      </c>
      <c r="G3" s="25">
        <f t="shared" ref="G3:G35" si="2">E3-F3</f>
        <v>0</v>
      </c>
      <c r="H3" s="23">
        <v>0.0</v>
      </c>
      <c r="I3" s="24">
        <v>0.0</v>
      </c>
      <c r="J3" s="25">
        <f t="shared" ref="J3:J35" si="3">H3-I3</f>
        <v>0</v>
      </c>
      <c r="K3" s="23">
        <v>0.0</v>
      </c>
      <c r="L3" s="24">
        <v>0.0</v>
      </c>
      <c r="M3" s="25">
        <f t="shared" ref="M3:M35" si="4">K3-L3</f>
        <v>0</v>
      </c>
      <c r="O3" s="26" t="s">
        <v>33</v>
      </c>
      <c r="P3" s="27"/>
      <c r="R3" s="28" t="s">
        <v>34</v>
      </c>
      <c r="S3" s="27"/>
    </row>
    <row r="4" ht="21.0" customHeight="1">
      <c r="A4" s="13" t="s">
        <v>35</v>
      </c>
      <c r="B4" s="10">
        <v>0.0</v>
      </c>
      <c r="C4" s="11">
        <v>0.0</v>
      </c>
      <c r="D4" s="12">
        <f t="shared" si="1"/>
        <v>0</v>
      </c>
      <c r="E4" s="10">
        <v>46.0</v>
      </c>
      <c r="F4" s="11">
        <v>1.0</v>
      </c>
      <c r="G4" s="12">
        <f t="shared" si="2"/>
        <v>45</v>
      </c>
      <c r="H4" s="10">
        <v>42.0</v>
      </c>
      <c r="I4" s="11">
        <v>1.0</v>
      </c>
      <c r="J4" s="12">
        <f t="shared" si="3"/>
        <v>41</v>
      </c>
      <c r="K4" s="10">
        <v>78.0</v>
      </c>
      <c r="L4" s="11">
        <v>2.0</v>
      </c>
      <c r="M4" s="12">
        <f t="shared" si="4"/>
        <v>76</v>
      </c>
      <c r="O4" s="29">
        <f>B3+B4+B5+B6+B7+E3+E4+E5+E6+E7+H3+H4+H5+H6+H7+K3+K4+K5+K6+K7</f>
        <v>604</v>
      </c>
      <c r="P4" s="30"/>
      <c r="R4" s="31">
        <f>B19+B20+B21+B22+B23+E19+E20+E21+E22+E23+H19+H20+H21+H22+H23+K19+K20+K21+K22+K23</f>
        <v>290</v>
      </c>
      <c r="S4" s="30"/>
    </row>
    <row r="5" ht="21.0" customHeight="1">
      <c r="A5" s="13" t="s">
        <v>36</v>
      </c>
      <c r="B5" s="10">
        <v>0.0</v>
      </c>
      <c r="C5" s="11">
        <v>0.0</v>
      </c>
      <c r="D5" s="12">
        <f t="shared" si="1"/>
        <v>0</v>
      </c>
      <c r="E5" s="10">
        <v>0.0</v>
      </c>
      <c r="F5" s="11">
        <v>0.0</v>
      </c>
      <c r="G5" s="12">
        <f t="shared" si="2"/>
        <v>0</v>
      </c>
      <c r="H5" s="10">
        <v>0.0</v>
      </c>
      <c r="I5" s="11">
        <v>0.0</v>
      </c>
      <c r="J5" s="12">
        <f t="shared" si="3"/>
        <v>0</v>
      </c>
      <c r="K5" s="10">
        <v>0.0</v>
      </c>
      <c r="L5" s="11">
        <v>0.0</v>
      </c>
      <c r="M5" s="12">
        <f t="shared" si="4"/>
        <v>0</v>
      </c>
      <c r="O5" s="32" t="s">
        <v>37</v>
      </c>
      <c r="P5" s="30"/>
      <c r="R5" s="33" t="s">
        <v>37</v>
      </c>
      <c r="S5" s="30"/>
    </row>
    <row r="6" ht="21.0" customHeight="1">
      <c r="A6" s="13" t="s">
        <v>38</v>
      </c>
      <c r="B6" s="10">
        <v>26.0</v>
      </c>
      <c r="C6" s="11">
        <v>1.0</v>
      </c>
      <c r="D6" s="12">
        <f t="shared" si="1"/>
        <v>25</v>
      </c>
      <c r="E6" s="10">
        <v>26.0</v>
      </c>
      <c r="F6" s="11">
        <v>0.0</v>
      </c>
      <c r="G6" s="12">
        <f t="shared" si="2"/>
        <v>26</v>
      </c>
      <c r="H6" s="10">
        <v>52.0</v>
      </c>
      <c r="I6" s="11">
        <v>3.0</v>
      </c>
      <c r="J6" s="12">
        <f t="shared" si="3"/>
        <v>49</v>
      </c>
      <c r="K6" s="10">
        <v>115.0</v>
      </c>
      <c r="L6" s="11">
        <v>1.0</v>
      </c>
      <c r="M6" s="12">
        <f t="shared" si="4"/>
        <v>114</v>
      </c>
      <c r="O6" s="29">
        <f>C3+C4+C5+C6+C7+F3+F4+F5+F6+F7+I3+I4+I5+I6+I7+L3+L4+L5+L6+L7</f>
        <v>12</v>
      </c>
      <c r="P6" s="30"/>
      <c r="R6" s="31">
        <f>C19+C20+C21+C22+C23+F19+F20+F21+F22+F23+I19+I20+I21+I22+I23+L19+L20+L21+L22+L23</f>
        <v>18</v>
      </c>
      <c r="S6" s="30"/>
    </row>
    <row r="7" ht="21.0" customHeight="1">
      <c r="A7" s="13" t="s">
        <v>39</v>
      </c>
      <c r="B7" s="10">
        <v>26.0</v>
      </c>
      <c r="C7" s="11">
        <v>0.0</v>
      </c>
      <c r="D7" s="12">
        <f t="shared" si="1"/>
        <v>26</v>
      </c>
      <c r="E7" s="10">
        <v>26.0</v>
      </c>
      <c r="F7" s="11">
        <v>0.0</v>
      </c>
      <c r="G7" s="12">
        <f t="shared" si="2"/>
        <v>26</v>
      </c>
      <c r="H7" s="10">
        <v>52.0</v>
      </c>
      <c r="I7" s="11">
        <v>3.0</v>
      </c>
      <c r="J7" s="12">
        <f t="shared" si="3"/>
        <v>49</v>
      </c>
      <c r="K7" s="10">
        <v>115.0</v>
      </c>
      <c r="L7" s="11">
        <v>0.0</v>
      </c>
      <c r="M7" s="12">
        <f t="shared" si="4"/>
        <v>115</v>
      </c>
      <c r="O7" s="32" t="s">
        <v>40</v>
      </c>
      <c r="P7" s="30"/>
      <c r="R7" s="33" t="s">
        <v>40</v>
      </c>
      <c r="S7" s="30"/>
    </row>
    <row r="8" ht="21.0" customHeight="1">
      <c r="A8" s="13" t="s">
        <v>41</v>
      </c>
      <c r="B8" s="10">
        <v>0.0</v>
      </c>
      <c r="C8" s="11">
        <v>0.0</v>
      </c>
      <c r="D8" s="12">
        <f t="shared" si="1"/>
        <v>0</v>
      </c>
      <c r="E8" s="10">
        <v>0.0</v>
      </c>
      <c r="F8" s="11">
        <v>0.0</v>
      </c>
      <c r="G8" s="12">
        <f t="shared" si="2"/>
        <v>0</v>
      </c>
      <c r="H8" s="10">
        <v>0.0</v>
      </c>
      <c r="I8" s="11">
        <v>0.0</v>
      </c>
      <c r="J8" s="12">
        <f t="shared" si="3"/>
        <v>0</v>
      </c>
      <c r="K8" s="10">
        <v>0.0</v>
      </c>
      <c r="L8" s="11">
        <v>0.0</v>
      </c>
      <c r="M8" s="12">
        <f t="shared" si="4"/>
        <v>0</v>
      </c>
      <c r="O8" s="34">
        <f>O4-O6</f>
        <v>592</v>
      </c>
      <c r="P8" s="35"/>
      <c r="R8" s="36">
        <f>R4-R6</f>
        <v>272</v>
      </c>
      <c r="S8" s="35"/>
    </row>
    <row r="9" ht="21.0" customHeight="1">
      <c r="A9" s="13" t="s">
        <v>42</v>
      </c>
      <c r="B9" s="10">
        <v>0.0</v>
      </c>
      <c r="C9" s="11">
        <v>0.0</v>
      </c>
      <c r="D9" s="12">
        <f t="shared" si="1"/>
        <v>0</v>
      </c>
      <c r="E9" s="10">
        <v>0.0</v>
      </c>
      <c r="F9" s="11">
        <v>0.0</v>
      </c>
      <c r="G9" s="12">
        <f t="shared" si="2"/>
        <v>0</v>
      </c>
      <c r="H9" s="10">
        <v>0.0</v>
      </c>
      <c r="I9" s="11">
        <v>0.0</v>
      </c>
      <c r="J9" s="12">
        <f t="shared" si="3"/>
        <v>0</v>
      </c>
      <c r="K9" s="10">
        <v>0.0</v>
      </c>
      <c r="L9" s="11">
        <v>0.0</v>
      </c>
      <c r="M9" s="12">
        <f t="shared" si="4"/>
        <v>0</v>
      </c>
      <c r="O9" s="26" t="s">
        <v>43</v>
      </c>
      <c r="P9" s="27"/>
      <c r="R9" s="28" t="s">
        <v>44</v>
      </c>
      <c r="S9" s="27"/>
    </row>
    <row r="10" ht="21.0" customHeight="1">
      <c r="A10" s="13" t="s">
        <v>45</v>
      </c>
      <c r="B10" s="10">
        <v>0.0</v>
      </c>
      <c r="C10" s="11">
        <v>0.0</v>
      </c>
      <c r="D10" s="12">
        <f t="shared" si="1"/>
        <v>0</v>
      </c>
      <c r="E10" s="10">
        <v>0.0</v>
      </c>
      <c r="F10" s="11">
        <v>0.0</v>
      </c>
      <c r="G10" s="12">
        <f t="shared" si="2"/>
        <v>0</v>
      </c>
      <c r="H10" s="10">
        <v>0.0</v>
      </c>
      <c r="I10" s="11">
        <v>0.0</v>
      </c>
      <c r="J10" s="12">
        <f t="shared" si="3"/>
        <v>0</v>
      </c>
      <c r="K10" s="10">
        <v>0.0</v>
      </c>
      <c r="L10" s="11">
        <v>0.0</v>
      </c>
      <c r="M10" s="12">
        <f t="shared" si="4"/>
        <v>0</v>
      </c>
      <c r="O10" s="29">
        <f>B9+B10+B11+B12+E9+E10+E11+E12+H9+H10+H11+H12+K9+K10+K11+K12+B8+E8+H8+K8</f>
        <v>381</v>
      </c>
      <c r="P10" s="30"/>
      <c r="R10" s="31">
        <f>B24+B25+B26+B27+E24+E25+E26+E27+H24+H25+H26+H27+K24+K25+K26+K27</f>
        <v>256</v>
      </c>
      <c r="S10" s="30"/>
    </row>
    <row r="11" ht="21.0" customHeight="1">
      <c r="A11" s="13" t="s">
        <v>46</v>
      </c>
      <c r="B11" s="10">
        <v>0.0</v>
      </c>
      <c r="C11" s="11">
        <v>0.0</v>
      </c>
      <c r="D11" s="12">
        <f t="shared" si="1"/>
        <v>0</v>
      </c>
      <c r="E11" s="10">
        <v>41.0</v>
      </c>
      <c r="F11" s="11">
        <v>5.0</v>
      </c>
      <c r="G11" s="12">
        <f t="shared" si="2"/>
        <v>36</v>
      </c>
      <c r="H11" s="10">
        <v>0.0</v>
      </c>
      <c r="I11" s="11">
        <v>0.0</v>
      </c>
      <c r="J11" s="12">
        <f t="shared" si="3"/>
        <v>0</v>
      </c>
      <c r="K11" s="10">
        <v>102.0</v>
      </c>
      <c r="L11" s="11">
        <v>7.0</v>
      </c>
      <c r="M11" s="12">
        <f t="shared" si="4"/>
        <v>95</v>
      </c>
      <c r="O11" s="32" t="s">
        <v>37</v>
      </c>
      <c r="P11" s="30"/>
      <c r="R11" s="33" t="s">
        <v>37</v>
      </c>
      <c r="S11" s="30"/>
    </row>
    <row r="12" ht="21.0" customHeight="1">
      <c r="A12" s="13" t="s">
        <v>47</v>
      </c>
      <c r="B12" s="10">
        <v>0.0</v>
      </c>
      <c r="C12" s="11">
        <v>0.0</v>
      </c>
      <c r="D12" s="12">
        <f t="shared" si="1"/>
        <v>0</v>
      </c>
      <c r="E12" s="10">
        <v>45.0</v>
      </c>
      <c r="F12" s="11">
        <v>5.0</v>
      </c>
      <c r="G12" s="12">
        <f t="shared" si="2"/>
        <v>40</v>
      </c>
      <c r="H12" s="10">
        <v>20.0</v>
      </c>
      <c r="I12" s="11">
        <v>6.0</v>
      </c>
      <c r="J12" s="12">
        <f t="shared" si="3"/>
        <v>14</v>
      </c>
      <c r="K12" s="10">
        <v>173.0</v>
      </c>
      <c r="L12" s="11">
        <v>10.0</v>
      </c>
      <c r="M12" s="12">
        <f t="shared" si="4"/>
        <v>163</v>
      </c>
      <c r="O12" s="29">
        <f>C9+C10+C11+C12+F9+F10+F11+F12+I9+I10+I11+I12+L9+L10+L11+L12</f>
        <v>33</v>
      </c>
      <c r="P12" s="30"/>
      <c r="R12" s="31">
        <f>C24+C25+C26+C27+F24+F25+F26+F27+I24+I25+I26+I27+L24+L25+L26+L27</f>
        <v>29</v>
      </c>
      <c r="S12" s="30"/>
    </row>
    <row r="13" ht="21.0" customHeight="1">
      <c r="A13" s="13" t="s">
        <v>48</v>
      </c>
      <c r="B13" s="10">
        <v>0.0</v>
      </c>
      <c r="C13" s="11">
        <v>0.0</v>
      </c>
      <c r="D13" s="12">
        <f t="shared" si="1"/>
        <v>0</v>
      </c>
      <c r="E13" s="10">
        <v>0.0</v>
      </c>
      <c r="F13" s="11">
        <v>0.0</v>
      </c>
      <c r="G13" s="12">
        <f t="shared" si="2"/>
        <v>0</v>
      </c>
      <c r="H13" s="10">
        <v>0.0</v>
      </c>
      <c r="I13" s="11">
        <v>0.0</v>
      </c>
      <c r="J13" s="12">
        <f t="shared" si="3"/>
        <v>0</v>
      </c>
      <c r="K13" s="10">
        <v>0.0</v>
      </c>
      <c r="L13" s="11">
        <v>0.0</v>
      </c>
      <c r="M13" s="12">
        <f t="shared" si="4"/>
        <v>0</v>
      </c>
      <c r="O13" s="32" t="s">
        <v>40</v>
      </c>
      <c r="P13" s="30"/>
      <c r="R13" s="33" t="s">
        <v>40</v>
      </c>
      <c r="S13" s="30"/>
    </row>
    <row r="14" ht="21.0" customHeight="1">
      <c r="A14" s="13" t="s">
        <v>49</v>
      </c>
      <c r="B14" s="10">
        <v>0.0</v>
      </c>
      <c r="C14" s="11">
        <v>0.0</v>
      </c>
      <c r="D14" s="12">
        <f t="shared" si="1"/>
        <v>0</v>
      </c>
      <c r="E14" s="10">
        <v>0.0</v>
      </c>
      <c r="F14" s="11">
        <v>0.0</v>
      </c>
      <c r="G14" s="12">
        <f t="shared" si="2"/>
        <v>0</v>
      </c>
      <c r="H14" s="10">
        <v>0.0</v>
      </c>
      <c r="I14" s="11">
        <v>0.0</v>
      </c>
      <c r="J14" s="12">
        <f t="shared" si="3"/>
        <v>0</v>
      </c>
      <c r="K14" s="10">
        <v>0.0</v>
      </c>
      <c r="L14" s="11">
        <v>0.0</v>
      </c>
      <c r="M14" s="12">
        <f t="shared" si="4"/>
        <v>0</v>
      </c>
      <c r="O14" s="34">
        <f>O10-O12</f>
        <v>348</v>
      </c>
      <c r="P14" s="35"/>
      <c r="R14" s="36">
        <f>R10-R12</f>
        <v>227</v>
      </c>
      <c r="S14" s="35"/>
    </row>
    <row r="15" ht="21.0" customHeight="1">
      <c r="A15" s="13" t="s">
        <v>50</v>
      </c>
      <c r="B15" s="10">
        <v>0.0</v>
      </c>
      <c r="C15" s="11">
        <v>0.0</v>
      </c>
      <c r="D15" s="12">
        <f t="shared" si="1"/>
        <v>0</v>
      </c>
      <c r="E15" s="10">
        <v>0.0</v>
      </c>
      <c r="F15" s="11">
        <v>0.0</v>
      </c>
      <c r="G15" s="12">
        <f t="shared" si="2"/>
        <v>0</v>
      </c>
      <c r="H15" s="10">
        <v>60.0</v>
      </c>
      <c r="I15" s="11">
        <v>2.0</v>
      </c>
      <c r="J15" s="12">
        <f t="shared" si="3"/>
        <v>58</v>
      </c>
      <c r="K15" s="10">
        <v>100.0</v>
      </c>
      <c r="L15" s="11">
        <v>2.0</v>
      </c>
      <c r="M15" s="12">
        <f t="shared" si="4"/>
        <v>98</v>
      </c>
      <c r="O15" s="26" t="s">
        <v>51</v>
      </c>
      <c r="P15" s="27"/>
      <c r="R15" s="28" t="s">
        <v>52</v>
      </c>
      <c r="S15" s="27"/>
    </row>
    <row r="16" ht="21.0" customHeight="1">
      <c r="A16" s="13" t="s">
        <v>53</v>
      </c>
      <c r="B16" s="10">
        <v>0.0</v>
      </c>
      <c r="C16" s="11">
        <v>0.0</v>
      </c>
      <c r="D16" s="12">
        <f t="shared" si="1"/>
        <v>0</v>
      </c>
      <c r="E16" s="10">
        <v>50.0</v>
      </c>
      <c r="F16" s="11">
        <v>0.0</v>
      </c>
      <c r="G16" s="12">
        <f t="shared" si="2"/>
        <v>50</v>
      </c>
      <c r="H16" s="10">
        <v>50.0</v>
      </c>
      <c r="I16" s="11">
        <v>1.0</v>
      </c>
      <c r="J16" s="12">
        <f t="shared" si="3"/>
        <v>49</v>
      </c>
      <c r="K16" s="10">
        <v>74.0</v>
      </c>
      <c r="L16" s="11">
        <v>1.0</v>
      </c>
      <c r="M16" s="12">
        <f t="shared" si="4"/>
        <v>73</v>
      </c>
      <c r="O16" s="29">
        <f>B15+B16+B17+B18+E15+E16+E17+E18+H15+H16+H17+H18+K15+K16+K17+K18+B14+B13+E13+E14+H13+H14+K13+K14</f>
        <v>635</v>
      </c>
      <c r="P16" s="30"/>
      <c r="R16" s="31">
        <f>B28+B29+B30+B31+E28+E29+E30+E31+H28+H29+H30+H31+K28+K29+K30+K31</f>
        <v>409</v>
      </c>
      <c r="S16" s="30"/>
    </row>
    <row r="17" ht="21.0" customHeight="1">
      <c r="A17" s="13" t="s">
        <v>54</v>
      </c>
      <c r="B17" s="10">
        <v>0.0</v>
      </c>
      <c r="C17" s="11">
        <v>0.0</v>
      </c>
      <c r="D17" s="12">
        <f t="shared" si="1"/>
        <v>0</v>
      </c>
      <c r="E17" s="10">
        <v>50.0</v>
      </c>
      <c r="F17" s="11">
        <v>4.0</v>
      </c>
      <c r="G17" s="12">
        <f t="shared" si="2"/>
        <v>46</v>
      </c>
      <c r="H17" s="10">
        <v>50.0</v>
      </c>
      <c r="I17" s="11">
        <v>1.0</v>
      </c>
      <c r="J17" s="12">
        <f t="shared" si="3"/>
        <v>49</v>
      </c>
      <c r="K17" s="10">
        <v>97.0</v>
      </c>
      <c r="L17" s="11">
        <v>2.0</v>
      </c>
      <c r="M17" s="12">
        <f t="shared" si="4"/>
        <v>95</v>
      </c>
      <c r="O17" s="32" t="s">
        <v>37</v>
      </c>
      <c r="P17" s="30"/>
      <c r="R17" s="33" t="s">
        <v>37</v>
      </c>
      <c r="S17" s="30"/>
    </row>
    <row r="18" ht="21.0" customHeight="1">
      <c r="A18" s="13" t="s">
        <v>55</v>
      </c>
      <c r="B18" s="10">
        <v>0.0</v>
      </c>
      <c r="C18" s="11">
        <v>0.0</v>
      </c>
      <c r="D18" s="12">
        <f t="shared" si="1"/>
        <v>0</v>
      </c>
      <c r="E18" s="10">
        <v>0.0</v>
      </c>
      <c r="F18" s="11">
        <v>0.0</v>
      </c>
      <c r="G18" s="12">
        <f t="shared" si="2"/>
        <v>0</v>
      </c>
      <c r="H18" s="10">
        <v>30.0</v>
      </c>
      <c r="I18" s="11">
        <v>5.0</v>
      </c>
      <c r="J18" s="12">
        <f t="shared" si="3"/>
        <v>25</v>
      </c>
      <c r="K18" s="10">
        <v>74.0</v>
      </c>
      <c r="L18" s="11">
        <v>2.0</v>
      </c>
      <c r="M18" s="12">
        <f t="shared" si="4"/>
        <v>72</v>
      </c>
      <c r="O18" s="29">
        <f>C15+C16+C17+C18+F15+F16+F17+F18+I15+I16+I17+I18+L15+L16+L17+L18+C14+C13+F14+F13+I14+I13+L14+L13</f>
        <v>20</v>
      </c>
      <c r="P18" s="30"/>
      <c r="R18" s="31">
        <f>C28+C29+C30+C31+F28+F29+F30+F31+I28+I29+I30+I31+L28+L29+L30+L31</f>
        <v>12</v>
      </c>
      <c r="S18" s="30"/>
    </row>
    <row r="19" ht="21.0" customHeight="1">
      <c r="A19" s="13" t="s">
        <v>56</v>
      </c>
      <c r="B19" s="10">
        <v>0.0</v>
      </c>
      <c r="C19" s="11">
        <v>0.0</v>
      </c>
      <c r="D19" s="12">
        <f t="shared" si="1"/>
        <v>0</v>
      </c>
      <c r="E19" s="10">
        <v>0.0</v>
      </c>
      <c r="F19" s="11">
        <v>0.0</v>
      </c>
      <c r="G19" s="12">
        <f t="shared" si="2"/>
        <v>0</v>
      </c>
      <c r="H19" s="10">
        <v>0.0</v>
      </c>
      <c r="I19" s="11">
        <v>0.0</v>
      </c>
      <c r="J19" s="12">
        <f t="shared" si="3"/>
        <v>0</v>
      </c>
      <c r="K19" s="10">
        <v>0.0</v>
      </c>
      <c r="L19" s="11">
        <v>0.0</v>
      </c>
      <c r="M19" s="12">
        <f t="shared" si="4"/>
        <v>0</v>
      </c>
      <c r="O19" s="32" t="s">
        <v>40</v>
      </c>
      <c r="P19" s="30"/>
      <c r="R19" s="33" t="s">
        <v>40</v>
      </c>
      <c r="S19" s="30"/>
    </row>
    <row r="20" ht="21.0" customHeight="1">
      <c r="A20" s="13" t="s">
        <v>57</v>
      </c>
      <c r="B20" s="10">
        <v>0.0</v>
      </c>
      <c r="C20" s="11">
        <v>0.0</v>
      </c>
      <c r="D20" s="12">
        <f t="shared" si="1"/>
        <v>0</v>
      </c>
      <c r="E20" s="10">
        <v>0.0</v>
      </c>
      <c r="F20" s="11">
        <v>0.0</v>
      </c>
      <c r="G20" s="12">
        <f t="shared" si="2"/>
        <v>0</v>
      </c>
      <c r="H20" s="10">
        <v>0.0</v>
      </c>
      <c r="I20" s="11">
        <v>0.0</v>
      </c>
      <c r="J20" s="12">
        <f t="shared" si="3"/>
        <v>0</v>
      </c>
      <c r="K20" s="10">
        <v>0.0</v>
      </c>
      <c r="L20" s="11">
        <v>0.0</v>
      </c>
      <c r="M20" s="12">
        <f t="shared" si="4"/>
        <v>0</v>
      </c>
      <c r="O20" s="34">
        <f>O16-O18</f>
        <v>615</v>
      </c>
      <c r="P20" s="35"/>
      <c r="R20" s="36">
        <f>R16-R18</f>
        <v>397</v>
      </c>
      <c r="S20" s="35"/>
    </row>
    <row r="21" ht="21.0" customHeight="1">
      <c r="A21" s="13" t="s">
        <v>58</v>
      </c>
      <c r="B21" s="10">
        <v>0.0</v>
      </c>
      <c r="C21" s="11">
        <v>0.0</v>
      </c>
      <c r="D21" s="12">
        <f t="shared" si="1"/>
        <v>0</v>
      </c>
      <c r="E21" s="10">
        <v>0.0</v>
      </c>
      <c r="F21" s="11">
        <v>0.0</v>
      </c>
      <c r="G21" s="12">
        <f t="shared" si="2"/>
        <v>0</v>
      </c>
      <c r="H21" s="10">
        <v>0.0</v>
      </c>
      <c r="I21" s="11">
        <v>0.0</v>
      </c>
      <c r="J21" s="12">
        <f t="shared" si="3"/>
        <v>0</v>
      </c>
      <c r="K21" s="10">
        <v>75.0</v>
      </c>
      <c r="L21" s="11">
        <v>6.0</v>
      </c>
      <c r="M21" s="12">
        <f t="shared" si="4"/>
        <v>69</v>
      </c>
      <c r="O21" s="26" t="s">
        <v>59</v>
      </c>
      <c r="P21" s="27"/>
    </row>
    <row r="22" ht="21.0" customHeight="1">
      <c r="A22" s="13" t="s">
        <v>60</v>
      </c>
      <c r="B22" s="10">
        <v>0.0</v>
      </c>
      <c r="C22" s="11">
        <v>0.0</v>
      </c>
      <c r="D22" s="12">
        <f t="shared" si="1"/>
        <v>0</v>
      </c>
      <c r="E22" s="10">
        <v>0.0</v>
      </c>
      <c r="F22" s="11">
        <v>0.0</v>
      </c>
      <c r="G22" s="12">
        <f t="shared" si="2"/>
        <v>0</v>
      </c>
      <c r="H22" s="10">
        <v>30.0</v>
      </c>
      <c r="I22" s="11">
        <v>2.0</v>
      </c>
      <c r="J22" s="12">
        <f t="shared" si="3"/>
        <v>28</v>
      </c>
      <c r="K22" s="10">
        <v>75.0</v>
      </c>
      <c r="L22" s="11">
        <v>1.0</v>
      </c>
      <c r="M22" s="12">
        <f t="shared" si="4"/>
        <v>74</v>
      </c>
      <c r="O22" s="29">
        <f>B32+B33+B34+B35+E32+E33+E34+E35+H32+H33+H34+H35+K32+K33+K34+K35</f>
        <v>919</v>
      </c>
      <c r="P22" s="30"/>
      <c r="R22" s="37" t="s">
        <v>61</v>
      </c>
      <c r="S22" s="27"/>
    </row>
    <row r="23" ht="21.0" customHeight="1">
      <c r="A23" s="13" t="s">
        <v>62</v>
      </c>
      <c r="B23" s="10">
        <v>0.0</v>
      </c>
      <c r="C23" s="11">
        <v>0.0</v>
      </c>
      <c r="D23" s="12">
        <f t="shared" si="1"/>
        <v>0</v>
      </c>
      <c r="E23" s="10">
        <v>0.0</v>
      </c>
      <c r="F23" s="11">
        <v>0.0</v>
      </c>
      <c r="G23" s="12">
        <f t="shared" si="2"/>
        <v>0</v>
      </c>
      <c r="H23" s="10">
        <v>35.0</v>
      </c>
      <c r="I23" s="11">
        <v>6.0</v>
      </c>
      <c r="J23" s="12">
        <f t="shared" si="3"/>
        <v>29</v>
      </c>
      <c r="K23" s="10">
        <v>75.0</v>
      </c>
      <c r="L23" s="11">
        <v>3.0</v>
      </c>
      <c r="M23" s="12">
        <f t="shared" si="4"/>
        <v>72</v>
      </c>
      <c r="O23" s="32" t="s">
        <v>37</v>
      </c>
      <c r="P23" s="30"/>
      <c r="R23" s="38" t="s">
        <v>63</v>
      </c>
      <c r="S23" s="27"/>
    </row>
    <row r="24" ht="21.0" customHeight="1">
      <c r="A24" s="13" t="s">
        <v>64</v>
      </c>
      <c r="B24" s="10">
        <v>0.0</v>
      </c>
      <c r="C24" s="11">
        <v>0.0</v>
      </c>
      <c r="D24" s="12">
        <f t="shared" si="1"/>
        <v>0</v>
      </c>
      <c r="E24" s="10">
        <v>24.0</v>
      </c>
      <c r="F24" s="11">
        <v>5.0</v>
      </c>
      <c r="G24" s="12">
        <f t="shared" si="2"/>
        <v>19</v>
      </c>
      <c r="H24" s="10">
        <v>33.0</v>
      </c>
      <c r="I24" s="11">
        <v>2.0</v>
      </c>
      <c r="J24" s="12">
        <f t="shared" si="3"/>
        <v>31</v>
      </c>
      <c r="K24" s="10">
        <v>71.0</v>
      </c>
      <c r="L24" s="11">
        <v>8.0</v>
      </c>
      <c r="M24" s="12">
        <f t="shared" si="4"/>
        <v>63</v>
      </c>
      <c r="O24" s="29">
        <f>C32+C33+C34+C35+F32+F33+F34+F35+I32+I33+I34+I35+L32+L33+L34+L35</f>
        <v>35</v>
      </c>
      <c r="P24" s="30"/>
      <c r="R24" s="29">
        <f>B36+E36+H36+K36</f>
        <v>3494</v>
      </c>
      <c r="S24" s="30"/>
    </row>
    <row r="25" ht="21.0" customHeight="1">
      <c r="A25" s="13" t="s">
        <v>65</v>
      </c>
      <c r="B25" s="10">
        <v>0.0</v>
      </c>
      <c r="C25" s="11">
        <v>0.0</v>
      </c>
      <c r="D25" s="12">
        <f t="shared" si="1"/>
        <v>0</v>
      </c>
      <c r="E25" s="10">
        <v>24.0</v>
      </c>
      <c r="F25" s="11">
        <v>4.0</v>
      </c>
      <c r="G25" s="12">
        <f t="shared" si="2"/>
        <v>20</v>
      </c>
      <c r="H25" s="10">
        <v>33.0</v>
      </c>
      <c r="I25" s="11">
        <v>4.0</v>
      </c>
      <c r="J25" s="12">
        <f t="shared" si="3"/>
        <v>29</v>
      </c>
      <c r="K25" s="10">
        <v>71.0</v>
      </c>
      <c r="L25" s="11">
        <v>6.0</v>
      </c>
      <c r="M25" s="12">
        <f t="shared" si="4"/>
        <v>65</v>
      </c>
      <c r="O25" s="32" t="s">
        <v>40</v>
      </c>
      <c r="P25" s="30"/>
      <c r="R25" s="32" t="s">
        <v>37</v>
      </c>
      <c r="S25" s="30"/>
    </row>
    <row r="26" ht="21.0" customHeight="1">
      <c r="A26" s="13" t="s">
        <v>66</v>
      </c>
      <c r="B26" s="10">
        <v>0.0</v>
      </c>
      <c r="C26" s="11">
        <v>0.0</v>
      </c>
      <c r="D26" s="12">
        <f t="shared" si="1"/>
        <v>0</v>
      </c>
      <c r="E26" s="10">
        <v>0.0</v>
      </c>
      <c r="F26" s="11">
        <v>0.0</v>
      </c>
      <c r="G26" s="12">
        <f t="shared" si="2"/>
        <v>0</v>
      </c>
      <c r="H26" s="10">
        <v>0.0</v>
      </c>
      <c r="I26" s="11">
        <v>0.0</v>
      </c>
      <c r="J26" s="12">
        <f t="shared" si="3"/>
        <v>0</v>
      </c>
      <c r="K26" s="10">
        <v>0.0</v>
      </c>
      <c r="L26" s="11">
        <v>0.0</v>
      </c>
      <c r="M26" s="12">
        <f t="shared" si="4"/>
        <v>0</v>
      </c>
      <c r="O26" s="34">
        <f>O22-O24</f>
        <v>884</v>
      </c>
      <c r="P26" s="35"/>
      <c r="R26" s="29">
        <f>F36+C36+I36+L36</f>
        <v>159</v>
      </c>
      <c r="S26" s="30"/>
    </row>
    <row r="27" ht="21.0" customHeight="1">
      <c r="A27" s="13" t="s">
        <v>67</v>
      </c>
      <c r="B27" s="10">
        <v>0.0</v>
      </c>
      <c r="C27" s="11">
        <v>0.0</v>
      </c>
      <c r="D27" s="12">
        <f t="shared" si="1"/>
        <v>0</v>
      </c>
      <c r="E27" s="10">
        <v>0.0</v>
      </c>
      <c r="F27" s="11">
        <v>0.0</v>
      </c>
      <c r="G27" s="12">
        <f t="shared" si="2"/>
        <v>0</v>
      </c>
      <c r="H27" s="10">
        <v>0.0</v>
      </c>
      <c r="I27" s="11">
        <v>0.0</v>
      </c>
      <c r="J27" s="12">
        <f t="shared" si="3"/>
        <v>0</v>
      </c>
      <c r="K27" s="10">
        <v>0.0</v>
      </c>
      <c r="L27" s="11">
        <v>0.0</v>
      </c>
      <c r="M27" s="12">
        <f t="shared" si="4"/>
        <v>0</v>
      </c>
      <c r="R27" s="32" t="s">
        <v>40</v>
      </c>
      <c r="S27" s="30"/>
    </row>
    <row r="28" ht="21.0" customHeight="1">
      <c r="A28" s="13" t="s">
        <v>68</v>
      </c>
      <c r="B28" s="10">
        <v>0.0</v>
      </c>
      <c r="C28" s="11">
        <v>0.0</v>
      </c>
      <c r="D28" s="12">
        <f t="shared" si="1"/>
        <v>0</v>
      </c>
      <c r="E28" s="10">
        <v>0.0</v>
      </c>
      <c r="F28" s="11">
        <v>0.0</v>
      </c>
      <c r="G28" s="12">
        <f t="shared" si="2"/>
        <v>0</v>
      </c>
      <c r="H28" s="10">
        <v>0.0</v>
      </c>
      <c r="I28" s="11">
        <v>0.0</v>
      </c>
      <c r="J28" s="12">
        <f t="shared" si="3"/>
        <v>0</v>
      </c>
      <c r="K28" s="10">
        <v>0.0</v>
      </c>
      <c r="L28" s="11">
        <v>0.0</v>
      </c>
      <c r="M28" s="12">
        <f t="shared" si="4"/>
        <v>0</v>
      </c>
      <c r="R28" s="34">
        <f>R24-R26</f>
        <v>3335</v>
      </c>
      <c r="S28" s="35"/>
    </row>
    <row r="29" ht="21.0" customHeight="1">
      <c r="A29" s="13" t="s">
        <v>69</v>
      </c>
      <c r="B29" s="10">
        <v>0.0</v>
      </c>
      <c r="C29" s="11">
        <v>0.0</v>
      </c>
      <c r="D29" s="12">
        <f t="shared" si="1"/>
        <v>0</v>
      </c>
      <c r="E29" s="10">
        <v>0.0</v>
      </c>
      <c r="F29" s="11">
        <v>0.0</v>
      </c>
      <c r="G29" s="12">
        <f t="shared" si="2"/>
        <v>0</v>
      </c>
      <c r="H29" s="10">
        <v>0.0</v>
      </c>
      <c r="I29" s="11">
        <v>0.0</v>
      </c>
      <c r="J29" s="12">
        <f t="shared" si="3"/>
        <v>0</v>
      </c>
      <c r="K29" s="10">
        <v>0.0</v>
      </c>
      <c r="L29" s="11">
        <v>0.0</v>
      </c>
      <c r="M29" s="12">
        <f t="shared" si="4"/>
        <v>0</v>
      </c>
    </row>
    <row r="30" ht="21.0" customHeight="1">
      <c r="A30" s="13" t="s">
        <v>70</v>
      </c>
      <c r="B30" s="10">
        <v>0.0</v>
      </c>
      <c r="C30" s="11">
        <v>0.0</v>
      </c>
      <c r="D30" s="12">
        <f t="shared" si="1"/>
        <v>0</v>
      </c>
      <c r="E30" s="10">
        <v>73.0</v>
      </c>
      <c r="F30" s="11">
        <v>2.0</v>
      </c>
      <c r="G30" s="12">
        <f t="shared" si="2"/>
        <v>71</v>
      </c>
      <c r="H30" s="10">
        <v>73.0</v>
      </c>
      <c r="I30" s="11">
        <v>0.0</v>
      </c>
      <c r="J30" s="12">
        <f t="shared" si="3"/>
        <v>73</v>
      </c>
      <c r="K30" s="10">
        <v>73.0</v>
      </c>
      <c r="L30" s="11">
        <v>1.0</v>
      </c>
      <c r="M30" s="12">
        <f t="shared" si="4"/>
        <v>72</v>
      </c>
    </row>
    <row r="31" ht="21.0" customHeight="1">
      <c r="A31" s="13" t="s">
        <v>71</v>
      </c>
      <c r="B31" s="10">
        <v>0.0</v>
      </c>
      <c r="C31" s="11">
        <v>0.0</v>
      </c>
      <c r="D31" s="12">
        <f t="shared" si="1"/>
        <v>0</v>
      </c>
      <c r="E31" s="10">
        <v>20.0</v>
      </c>
      <c r="F31" s="11">
        <v>4.0</v>
      </c>
      <c r="G31" s="12">
        <f t="shared" si="2"/>
        <v>16</v>
      </c>
      <c r="H31" s="10">
        <v>82.0</v>
      </c>
      <c r="I31" s="11">
        <v>3.0</v>
      </c>
      <c r="J31" s="12">
        <f t="shared" si="3"/>
        <v>79</v>
      </c>
      <c r="K31" s="10">
        <v>88.0</v>
      </c>
      <c r="L31" s="11">
        <v>2.0</v>
      </c>
      <c r="M31" s="12">
        <f t="shared" si="4"/>
        <v>86</v>
      </c>
    </row>
    <row r="32" ht="21.0" customHeight="1">
      <c r="A32" s="13" t="s">
        <v>72</v>
      </c>
      <c r="B32" s="10">
        <v>0.0</v>
      </c>
      <c r="C32" s="11">
        <v>0.0</v>
      </c>
      <c r="D32" s="12">
        <f t="shared" si="1"/>
        <v>0</v>
      </c>
      <c r="E32" s="10">
        <v>165.0</v>
      </c>
      <c r="F32" s="11">
        <v>1.0</v>
      </c>
      <c r="G32" s="12">
        <f t="shared" si="2"/>
        <v>164</v>
      </c>
      <c r="H32" s="10">
        <v>40.0</v>
      </c>
      <c r="I32" s="11">
        <v>0.0</v>
      </c>
      <c r="J32" s="12">
        <f t="shared" si="3"/>
        <v>40</v>
      </c>
      <c r="K32" s="10">
        <v>85.0</v>
      </c>
      <c r="L32" s="11">
        <v>2.0</v>
      </c>
      <c r="M32" s="12">
        <f t="shared" si="4"/>
        <v>83</v>
      </c>
    </row>
    <row r="33" ht="21.0" customHeight="1">
      <c r="A33" s="13" t="s">
        <v>73</v>
      </c>
      <c r="B33" s="10">
        <v>0.0</v>
      </c>
      <c r="C33" s="11">
        <v>0.0</v>
      </c>
      <c r="D33" s="12">
        <f t="shared" si="1"/>
        <v>0</v>
      </c>
      <c r="E33" s="10">
        <v>0.0</v>
      </c>
      <c r="F33" s="11">
        <v>0.0</v>
      </c>
      <c r="G33" s="12">
        <f t="shared" si="2"/>
        <v>0</v>
      </c>
      <c r="H33" s="10">
        <v>110.0</v>
      </c>
      <c r="I33" s="11">
        <v>10.0</v>
      </c>
      <c r="J33" s="12">
        <f t="shared" si="3"/>
        <v>100</v>
      </c>
      <c r="K33" s="10">
        <v>0.0</v>
      </c>
      <c r="L33" s="11">
        <v>0.0</v>
      </c>
      <c r="M33" s="12">
        <f t="shared" si="4"/>
        <v>0</v>
      </c>
    </row>
    <row r="34" ht="21.0" customHeight="1">
      <c r="A34" s="13" t="s">
        <v>74</v>
      </c>
      <c r="B34" s="10">
        <v>0.0</v>
      </c>
      <c r="C34" s="11">
        <v>0.0</v>
      </c>
      <c r="D34" s="12">
        <f t="shared" si="1"/>
        <v>0</v>
      </c>
      <c r="E34" s="10">
        <v>46.0</v>
      </c>
      <c r="F34" s="11">
        <v>8.0</v>
      </c>
      <c r="G34" s="12">
        <f t="shared" si="2"/>
        <v>38</v>
      </c>
      <c r="H34" s="10">
        <v>50.0</v>
      </c>
      <c r="I34" s="11">
        <v>2.0</v>
      </c>
      <c r="J34" s="12">
        <f t="shared" si="3"/>
        <v>48</v>
      </c>
      <c r="K34" s="10">
        <v>64.0</v>
      </c>
      <c r="L34" s="11">
        <v>6.0</v>
      </c>
      <c r="M34" s="12">
        <f t="shared" si="4"/>
        <v>58</v>
      </c>
    </row>
    <row r="35" ht="21.0" customHeight="1">
      <c r="A35" s="13" t="s">
        <v>75</v>
      </c>
      <c r="B35" s="10">
        <v>0.0</v>
      </c>
      <c r="C35" s="11">
        <v>0.0</v>
      </c>
      <c r="D35" s="12">
        <f t="shared" si="1"/>
        <v>0</v>
      </c>
      <c r="E35" s="10">
        <v>100.0</v>
      </c>
      <c r="F35" s="11">
        <v>2.0</v>
      </c>
      <c r="G35" s="12">
        <f t="shared" si="2"/>
        <v>98</v>
      </c>
      <c r="H35" s="10">
        <v>150.0</v>
      </c>
      <c r="I35" s="11">
        <v>0.0</v>
      </c>
      <c r="J35" s="12">
        <f t="shared" si="3"/>
        <v>150</v>
      </c>
      <c r="K35" s="10">
        <v>109.0</v>
      </c>
      <c r="L35" s="11">
        <v>4.0</v>
      </c>
      <c r="M35" s="12">
        <f t="shared" si="4"/>
        <v>105</v>
      </c>
    </row>
    <row r="36" ht="21.0" customHeight="1">
      <c r="A36" s="14" t="s">
        <v>14</v>
      </c>
      <c r="B36" s="15">
        <f t="shared" ref="B36:M36" si="5">SUM(B3:B35)</f>
        <v>52</v>
      </c>
      <c r="C36" s="15">
        <f t="shared" si="5"/>
        <v>1</v>
      </c>
      <c r="D36" s="16">
        <f t="shared" si="5"/>
        <v>51</v>
      </c>
      <c r="E36" s="15">
        <f t="shared" si="5"/>
        <v>736</v>
      </c>
      <c r="F36" s="15">
        <f t="shared" si="5"/>
        <v>41</v>
      </c>
      <c r="G36" s="16">
        <f t="shared" si="5"/>
        <v>695</v>
      </c>
      <c r="H36" s="15">
        <f t="shared" si="5"/>
        <v>992</v>
      </c>
      <c r="I36" s="15">
        <f t="shared" si="5"/>
        <v>51</v>
      </c>
      <c r="J36" s="16">
        <f t="shared" si="5"/>
        <v>941</v>
      </c>
      <c r="K36" s="15">
        <f t="shared" si="5"/>
        <v>1714</v>
      </c>
      <c r="L36" s="15">
        <f t="shared" si="5"/>
        <v>66</v>
      </c>
      <c r="M36" s="16">
        <f t="shared" si="5"/>
        <v>1648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autoFilter ref="$A$1:$Z$36"/>
  <mergeCells count="53">
    <mergeCell ref="B1:D1"/>
    <mergeCell ref="E1:G1"/>
    <mergeCell ref="H1:J1"/>
    <mergeCell ref="K1:M1"/>
    <mergeCell ref="O3:P3"/>
    <mergeCell ref="R3:S3"/>
    <mergeCell ref="R4:S4"/>
    <mergeCell ref="R7:S7"/>
    <mergeCell ref="R8:S8"/>
    <mergeCell ref="O4:P4"/>
    <mergeCell ref="O5:P5"/>
    <mergeCell ref="R5:S5"/>
    <mergeCell ref="O6:P6"/>
    <mergeCell ref="R6:S6"/>
    <mergeCell ref="O7:P7"/>
    <mergeCell ref="O8:P8"/>
    <mergeCell ref="O9:P9"/>
    <mergeCell ref="R9:S9"/>
    <mergeCell ref="O10:P10"/>
    <mergeCell ref="R10:S10"/>
    <mergeCell ref="O11:P11"/>
    <mergeCell ref="R11:S11"/>
    <mergeCell ref="R12:S12"/>
    <mergeCell ref="O19:P19"/>
    <mergeCell ref="O20:P20"/>
    <mergeCell ref="O21:P21"/>
    <mergeCell ref="O22:P22"/>
    <mergeCell ref="O23:P23"/>
    <mergeCell ref="O24:P24"/>
    <mergeCell ref="O25:P25"/>
    <mergeCell ref="O26:P26"/>
    <mergeCell ref="O12:P12"/>
    <mergeCell ref="O13:P13"/>
    <mergeCell ref="O14:P14"/>
    <mergeCell ref="O15:P15"/>
    <mergeCell ref="O16:P16"/>
    <mergeCell ref="O17:P17"/>
    <mergeCell ref="O18:P18"/>
    <mergeCell ref="R20:S20"/>
    <mergeCell ref="R22:S22"/>
    <mergeCell ref="R23:S23"/>
    <mergeCell ref="R24:S24"/>
    <mergeCell ref="R25:S25"/>
    <mergeCell ref="R26:S26"/>
    <mergeCell ref="R27:S27"/>
    <mergeCell ref="R28:S28"/>
    <mergeCell ref="R13:S13"/>
    <mergeCell ref="R14:S14"/>
    <mergeCell ref="R15:S15"/>
    <mergeCell ref="R16:S16"/>
    <mergeCell ref="R17:S17"/>
    <mergeCell ref="R18:S18"/>
    <mergeCell ref="R19:S19"/>
  </mergeCells>
  <conditionalFormatting sqref="D4:D36">
    <cfRule type="cellIs" dxfId="0" priority="1" operator="lessThanOrEqual">
      <formula>0</formula>
    </cfRule>
  </conditionalFormatting>
  <conditionalFormatting sqref="D4:D36">
    <cfRule type="cellIs" dxfId="1" priority="2" operator="lessThanOrEqual">
      <formula>5</formula>
    </cfRule>
  </conditionalFormatting>
  <conditionalFormatting sqref="G4:G36">
    <cfRule type="cellIs" dxfId="0" priority="3" operator="lessThanOrEqual">
      <formula>0</formula>
    </cfRule>
  </conditionalFormatting>
  <conditionalFormatting sqref="G4:G36">
    <cfRule type="cellIs" dxfId="1" priority="4" operator="lessThanOrEqual">
      <formula>5</formula>
    </cfRule>
  </conditionalFormatting>
  <conditionalFormatting sqref="J4:J36">
    <cfRule type="cellIs" dxfId="0" priority="5" operator="lessThanOrEqual">
      <formula>0</formula>
    </cfRule>
  </conditionalFormatting>
  <conditionalFormatting sqref="J4:J36">
    <cfRule type="cellIs" dxfId="1" priority="6" operator="lessThanOrEqual">
      <formula>5</formula>
    </cfRule>
  </conditionalFormatting>
  <conditionalFormatting sqref="M4:M36">
    <cfRule type="cellIs" dxfId="0" priority="7" operator="lessThanOrEqual">
      <formula>0</formula>
    </cfRule>
  </conditionalFormatting>
  <conditionalFormatting sqref="M4:M36">
    <cfRule type="cellIs" dxfId="1" priority="8" operator="lessThanOrEqual">
      <formula>5</formula>
    </cfRule>
  </conditionalFormatting>
  <printOptions/>
  <pageMargins bottom="0.75" footer="0.0" header="0.0" left="0.7" right="0.7" top="0.75"/>
  <pageSetup orientation="landscape"/>
  <drawing r:id="rId1"/>
</worksheet>
</file>