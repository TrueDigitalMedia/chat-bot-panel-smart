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FEF78A41-D0FA-41E1-A730-D02BBB661604}" xr6:coauthVersionLast="47" xr6:coauthVersionMax="47" xr10:uidLastSave="{00000000-0000-0000-0000-000000000000}"/>
  <bookViews>
    <workbookView xWindow="-108" yWindow="-108" windowWidth="23256" windowHeight="13896" firstSheet="4" activeTab="6" xr2:uid="{F911C1DD-6B0A-48AA-8A56-37AC455AC676}"/>
  </bookViews>
  <sheets>
    <sheet name="Regiones Panama" sheetId="16" r:id="rId1"/>
    <sheet name="Regiones Guatemala" sheetId="18" r:id="rId2"/>
    <sheet name="Regiones Costa Rica" sheetId="17" r:id="rId3"/>
    <sheet name="Regiones El Salvador" sheetId="19" r:id="rId4"/>
    <sheet name="Regiones Nicaragua" sheetId="20" r:id="rId5"/>
    <sheet name="Regiones Honduras" sheetId="21" r:id="rId6"/>
    <sheet name="Regiones RD" sheetId="23" r:id="rId7"/>
  </sheets>
  <definedNames>
    <definedName name="_xlnm._FilterDatabase" localSheetId="2" hidden="1">'Regiones Costa Rica'!$A$1:$D$78</definedName>
    <definedName name="_xlnm._FilterDatabase" localSheetId="3" hidden="1">'Regiones El Salvador'!$A$1:$D$263</definedName>
    <definedName name="_xlnm._FilterDatabase" localSheetId="1" hidden="1">'Regiones Guatemala'!$A$1:$D$326</definedName>
    <definedName name="_xlnm._FilterDatabase" localSheetId="5" hidden="1">'Regiones Honduras'!$A$1:$D$282</definedName>
    <definedName name="_xlnm._FilterDatabase" localSheetId="4" hidden="1">'Regiones Nicaragua'!$A$1:$C$86</definedName>
    <definedName name="_xlnm._FilterDatabase" localSheetId="0" hidden="1">'Regiones Panama'!$A$1:$D$50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1" l="1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D2" i="23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52" i="17"/>
  <c r="E53" i="17"/>
  <c r="E54" i="17"/>
  <c r="E55" i="17"/>
  <c r="E56" i="17"/>
  <c r="E57" i="17"/>
  <c r="E7" i="17"/>
  <c r="E8" i="17"/>
  <c r="E9" i="17"/>
  <c r="E10" i="17"/>
  <c r="E11" i="17"/>
  <c r="E12" i="17"/>
  <c r="E13" i="17"/>
  <c r="E14" i="17"/>
  <c r="E15" i="17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176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18" i="18"/>
  <c r="E33" i="18"/>
  <c r="E29" i="18"/>
  <c r="E25" i="18"/>
  <c r="E24" i="18"/>
  <c r="E23" i="18"/>
  <c r="E20" i="18"/>
  <c r="E19" i="18"/>
  <c r="E17" i="18"/>
  <c r="E15" i="18"/>
  <c r="E14" i="18"/>
  <c r="E13" i="18"/>
  <c r="E9" i="18"/>
  <c r="E8" i="18"/>
  <c r="E7" i="18"/>
  <c r="E6" i="18"/>
  <c r="E5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D214" i="21"/>
  <c r="D213" i="21"/>
  <c r="D212" i="21"/>
  <c r="D211" i="21"/>
  <c r="D210" i="21"/>
  <c r="D208" i="21"/>
  <c r="D207" i="21"/>
  <c r="D206" i="21"/>
  <c r="D205" i="21"/>
  <c r="D204" i="21"/>
  <c r="D203" i="21"/>
  <c r="D202" i="21"/>
  <c r="D201" i="21"/>
  <c r="D200" i="21"/>
  <c r="D199" i="21"/>
  <c r="D198" i="21"/>
  <c r="D197" i="21"/>
  <c r="D196" i="21"/>
  <c r="E117" i="19"/>
  <c r="E116" i="19"/>
  <c r="E113" i="19"/>
  <c r="E107" i="19"/>
  <c r="E95" i="19"/>
  <c r="E92" i="19"/>
  <c r="E84" i="19"/>
  <c r="E78" i="19"/>
  <c r="E65" i="19"/>
  <c r="E64" i="19"/>
  <c r="E60" i="19"/>
  <c r="E50" i="19"/>
  <c r="E45" i="19"/>
  <c r="E2" i="19"/>
  <c r="D20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39" i="21"/>
  <c r="E139" i="19"/>
  <c r="E138" i="19"/>
  <c r="E137" i="19"/>
  <c r="E136" i="19"/>
  <c r="E135" i="19"/>
  <c r="E134" i="19"/>
  <c r="E131" i="19"/>
  <c r="E130" i="19"/>
  <c r="E127" i="19"/>
  <c r="E126" i="19"/>
  <c r="E124" i="19"/>
  <c r="E123" i="19"/>
  <c r="E122" i="19"/>
  <c r="E121" i="19"/>
  <c r="E120" i="19"/>
  <c r="E119" i="19"/>
  <c r="E114" i="19"/>
  <c r="E112" i="19"/>
  <c r="E109" i="19"/>
  <c r="E108" i="19"/>
  <c r="E106" i="19"/>
  <c r="E105" i="19"/>
  <c r="E104" i="19"/>
  <c r="E103" i="19"/>
  <c r="E102" i="19"/>
  <c r="E101" i="19"/>
  <c r="E100" i="19"/>
  <c r="E99" i="19"/>
  <c r="E97" i="19"/>
  <c r="E96" i="19"/>
  <c r="E94" i="19"/>
  <c r="E93" i="19"/>
  <c r="E91" i="19"/>
  <c r="E90" i="19"/>
  <c r="E89" i="19"/>
  <c r="E88" i="19"/>
  <c r="E83" i="19"/>
  <c r="E81" i="19"/>
  <c r="E77" i="19"/>
  <c r="E76" i="19"/>
  <c r="E74" i="19"/>
  <c r="E73" i="19"/>
  <c r="E72" i="19"/>
  <c r="E71" i="19"/>
  <c r="E70" i="19"/>
  <c r="E69" i="19"/>
  <c r="E68" i="19"/>
  <c r="E63" i="19"/>
  <c r="E61" i="19"/>
  <c r="E59" i="19"/>
  <c r="E58" i="19"/>
  <c r="E56" i="19"/>
  <c r="E55" i="19"/>
  <c r="E54" i="19"/>
  <c r="E49" i="19"/>
  <c r="E48" i="19"/>
  <c r="E47" i="19"/>
  <c r="E46" i="19"/>
  <c r="E44" i="19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15" i="21"/>
  <c r="D282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" i="21"/>
  <c r="E110" i="19"/>
  <c r="E98" i="19"/>
  <c r="E80" i="19"/>
  <c r="E53" i="19"/>
  <c r="E51" i="19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E35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2" i="16"/>
  <c r="E5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tc={8D672151-AEFD-4447-964C-9266D1FDB97D}</author>
  </authors>
  <commentList>
    <comment ref="C2" authorId="0" shapeId="0" xr:uid="{8D672151-AEFD-4447-964C-9266D1FDB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FIGURABA COMO DISTRITO CENTRAL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tc={FB3B5CF3-A994-4186-B256-1619CAF6D3AB}</author>
  </authors>
  <commentList>
    <comment ref="C2" authorId="0" shapeId="0" xr:uid="{FB3B5CF3-A994-4186-B256-1619CAF6D3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FIGURABA COMO DISTRITO CENTRAL</t>
      </text>
    </comment>
  </commentList>
</comments>
</file>

<file path=xl/sharedStrings.xml><?xml version="1.0" encoding="utf-8"?>
<sst xmlns="http://schemas.openxmlformats.org/spreadsheetml/2006/main" count="4128" uniqueCount="1130">
  <si>
    <t>Región</t>
  </si>
  <si>
    <t>Provincia</t>
  </si>
  <si>
    <t>Municipio</t>
  </si>
  <si>
    <t>Occidente</t>
  </si>
  <si>
    <t>CHIRIQUÍ</t>
  </si>
  <si>
    <t>ALANJE</t>
  </si>
  <si>
    <t>BARU</t>
  </si>
  <si>
    <t>HERRERA</t>
  </si>
  <si>
    <t>CHITRE</t>
  </si>
  <si>
    <t>VERAGUAS</t>
  </si>
  <si>
    <t>ATALAYA</t>
  </si>
  <si>
    <t>BOQUERON</t>
  </si>
  <si>
    <t>BOQUETE</t>
  </si>
  <si>
    <t>CALOBRE</t>
  </si>
  <si>
    <t>CAÑAZAS</t>
  </si>
  <si>
    <t>LA MESA</t>
  </si>
  <si>
    <t>LAS PALMAS</t>
  </si>
  <si>
    <t>MONTIJO</t>
  </si>
  <si>
    <t>SAN FRANCISCO</t>
  </si>
  <si>
    <t>BUGABA</t>
  </si>
  <si>
    <t>DAVID</t>
  </si>
  <si>
    <t>BOCAS DEL TORO</t>
  </si>
  <si>
    <t>CHANGUINOLA</t>
  </si>
  <si>
    <t>CHIRIQUI GRANDE</t>
  </si>
  <si>
    <t>DOLEGA</t>
  </si>
  <si>
    <t>GUALACA</t>
  </si>
  <si>
    <t>RENACIMIENTO</t>
  </si>
  <si>
    <t>TOLE</t>
  </si>
  <si>
    <t>OCU</t>
  </si>
  <si>
    <t>PESE</t>
  </si>
  <si>
    <t>SANTA FÉ</t>
  </si>
  <si>
    <t>SANTIAGO</t>
  </si>
  <si>
    <t>SONA</t>
  </si>
  <si>
    <t>Norte</t>
  </si>
  <si>
    <t>COLÓN</t>
  </si>
  <si>
    <t>COLON</t>
  </si>
  <si>
    <t>DARIÉN</t>
  </si>
  <si>
    <t>PINOGANA</t>
  </si>
  <si>
    <t>CHEPIGANA</t>
  </si>
  <si>
    <t>PORTOBELO</t>
  </si>
  <si>
    <t>CHAGRES</t>
  </si>
  <si>
    <t>DONOSO</t>
  </si>
  <si>
    <t>Centro II</t>
  </si>
  <si>
    <t>COCLÉ</t>
  </si>
  <si>
    <t>AGUADULCE</t>
  </si>
  <si>
    <t>Centro I</t>
  </si>
  <si>
    <t>PANAMÁ</t>
  </si>
  <si>
    <t>SAN MIGUELITO</t>
  </si>
  <si>
    <t>LA CHORRERA</t>
  </si>
  <si>
    <t>CHEPO</t>
  </si>
  <si>
    <t>LOS SANTOS</t>
  </si>
  <si>
    <t>LAS TABLAS</t>
  </si>
  <si>
    <t>ARRAIJAN</t>
  </si>
  <si>
    <t>CAPIRA</t>
  </si>
  <si>
    <t>CHAME</t>
  </si>
  <si>
    <t>SAN CARLOS</t>
  </si>
  <si>
    <t>ANTON</t>
  </si>
  <si>
    <t>GUARARE</t>
  </si>
  <si>
    <t>LA PINTADA</t>
  </si>
  <si>
    <t>NATA</t>
  </si>
  <si>
    <t>PENONOME</t>
  </si>
  <si>
    <t>TONOSI</t>
  </si>
  <si>
    <t>PANAMA</t>
  </si>
  <si>
    <t xml:space="preserve"> </t>
  </si>
  <si>
    <t>Departamento</t>
  </si>
  <si>
    <t>Guatemala</t>
  </si>
  <si>
    <t>San Pedro Sacatepéquez</t>
  </si>
  <si>
    <t>Chuarrancho</t>
  </si>
  <si>
    <t>Resto Centro</t>
  </si>
  <si>
    <t>Sacatepéquez</t>
  </si>
  <si>
    <t>Santa María de Jesús</t>
  </si>
  <si>
    <t>San Juan Alotenango</t>
  </si>
  <si>
    <t>Santa Catarina Barahona</t>
  </si>
  <si>
    <t>Santo Domingo Xenacoj</t>
  </si>
  <si>
    <t>Sumpango</t>
  </si>
  <si>
    <t>San Juan Sacatepéquez</t>
  </si>
  <si>
    <t>Chinautla</t>
  </si>
  <si>
    <t>Palencia</t>
  </si>
  <si>
    <t>Magdalena Milpas Altas</t>
  </si>
  <si>
    <t>Santiago Sacatepéquez</t>
  </si>
  <si>
    <t>Pastores</t>
  </si>
  <si>
    <t>San Raymundo</t>
  </si>
  <si>
    <t>Ciudad Vieja</t>
  </si>
  <si>
    <t>Villa Nueva</t>
  </si>
  <si>
    <t>San Antonio Aguas Calientes</t>
  </si>
  <si>
    <t>San Miguel Dueñas</t>
  </si>
  <si>
    <t>Villa Canales</t>
  </si>
  <si>
    <t>Amatitlán</t>
  </si>
  <si>
    <t>Santa Lucía Milpas Altas</t>
  </si>
  <si>
    <t>San Bartolomé Milpas Altas</t>
  </si>
  <si>
    <t>Antigua Guatemala</t>
  </si>
  <si>
    <t>San Pedro Ayampuc</t>
  </si>
  <si>
    <t>Mixco</t>
  </si>
  <si>
    <t>Fraijanes</t>
  </si>
  <si>
    <t>Jocotenango</t>
  </si>
  <si>
    <t>San José Pinula</t>
  </si>
  <si>
    <t>San Miguel Petapa</t>
  </si>
  <si>
    <t>Santa Catarina Pinula</t>
  </si>
  <si>
    <t>San Lucas Sacatepéquez</t>
  </si>
  <si>
    <t>NorOriente</t>
  </si>
  <si>
    <t>Alta Verapaz</t>
  </si>
  <si>
    <t>Panzós</t>
  </si>
  <si>
    <t>San Agustín Lanquín</t>
  </si>
  <si>
    <t>Santa Catalina La Tinta</t>
  </si>
  <si>
    <t>Senahú</t>
  </si>
  <si>
    <t>Chisec</t>
  </si>
  <si>
    <t>Fray Bartolomé de las Casas</t>
  </si>
  <si>
    <t>Raxruhá</t>
  </si>
  <si>
    <t>Cobán</t>
  </si>
  <si>
    <t>San Miguel Tucurú</t>
  </si>
  <si>
    <t>Chahal</t>
  </si>
  <si>
    <t>Tamahú</t>
  </si>
  <si>
    <t>Santa María Cahabón</t>
  </si>
  <si>
    <t>San Cristóbal Verapaz</t>
  </si>
  <si>
    <t>Tactic</t>
  </si>
  <si>
    <t>Santa Cruz Verapaz</t>
  </si>
  <si>
    <t>San Pedro Carchá</t>
  </si>
  <si>
    <t>San Juan Chamelco</t>
  </si>
  <si>
    <t>Baja Verapaz</t>
  </si>
  <si>
    <t>Salamá</t>
  </si>
  <si>
    <t>San Jerónimo</t>
  </si>
  <si>
    <t>Purulhá</t>
  </si>
  <si>
    <t>San Miguel Chicaj</t>
  </si>
  <si>
    <t>Granados</t>
  </si>
  <si>
    <t>Cubulco</t>
  </si>
  <si>
    <t>Rabinal</t>
  </si>
  <si>
    <t>Santa Cruz El Chol</t>
  </si>
  <si>
    <t>Chiquimula</t>
  </si>
  <si>
    <t>San José la Arada</t>
  </si>
  <si>
    <t>San Jacinto</t>
  </si>
  <si>
    <t>Camotán</t>
  </si>
  <si>
    <t>Olopa</t>
  </si>
  <si>
    <t>Quezaltepeque</t>
  </si>
  <si>
    <t>Esquipulas</t>
  </si>
  <si>
    <t>Concepción las Minas</t>
  </si>
  <si>
    <t>Jocotán</t>
  </si>
  <si>
    <t>Ipala</t>
  </si>
  <si>
    <t>San Juan Ermita</t>
  </si>
  <si>
    <t>El Progreso</t>
  </si>
  <si>
    <t>San Antonio la Paz</t>
  </si>
  <si>
    <t>San Agustín Acasaguastlán</t>
  </si>
  <si>
    <t>Sansare</t>
  </si>
  <si>
    <t>El Jícaro</t>
  </si>
  <si>
    <t>Morazán</t>
  </si>
  <si>
    <t>San Cristóbal Acasaguastlán</t>
  </si>
  <si>
    <t>Sanarate</t>
  </si>
  <si>
    <t>Guastatoya</t>
  </si>
  <si>
    <t>Izabal</t>
  </si>
  <si>
    <t>Livingston</t>
  </si>
  <si>
    <t>Morales</t>
  </si>
  <si>
    <t>El Estor</t>
  </si>
  <si>
    <t>Los Amates</t>
  </si>
  <si>
    <t>Puerto Barrios</t>
  </si>
  <si>
    <t>Jalapa</t>
  </si>
  <si>
    <t>San Carlos Alzatate</t>
  </si>
  <si>
    <t>San Manuel Chaparrón</t>
  </si>
  <si>
    <t>San Luis Jilotepeque</t>
  </si>
  <si>
    <t>San Pedro Pinula</t>
  </si>
  <si>
    <t>Monjas</t>
  </si>
  <si>
    <t>Mataquescuintla</t>
  </si>
  <si>
    <t>Jutiapa</t>
  </si>
  <si>
    <t>San José Acatempa</t>
  </si>
  <si>
    <t>El Adelanto</t>
  </si>
  <si>
    <t>Jerez</t>
  </si>
  <si>
    <t>Pasaco</t>
  </si>
  <si>
    <t>Conguaco</t>
  </si>
  <si>
    <t>Zapotitlán</t>
  </si>
  <si>
    <t>Yupiltepeque</t>
  </si>
  <si>
    <t>Atescatempa</t>
  </si>
  <si>
    <t>Santa Catarina Mita</t>
  </si>
  <si>
    <t>Jalpatagua</t>
  </si>
  <si>
    <t>Comapa</t>
  </si>
  <si>
    <t>Agua Blanca</t>
  </si>
  <si>
    <t>Asunción Mita</t>
  </si>
  <si>
    <t>Moyuta</t>
  </si>
  <si>
    <t>Quesada</t>
  </si>
  <si>
    <t>Zacapa</t>
  </si>
  <si>
    <t>San Jorge</t>
  </si>
  <si>
    <t>Cabañas</t>
  </si>
  <si>
    <t>Gualán</t>
  </si>
  <si>
    <t>Huité</t>
  </si>
  <si>
    <t>Usumatlán</t>
  </si>
  <si>
    <t>Río Hondo</t>
  </si>
  <si>
    <t>La Unión</t>
  </si>
  <si>
    <t>Estanzuela</t>
  </si>
  <si>
    <t>Teculután</t>
  </si>
  <si>
    <t>San Diego</t>
  </si>
  <si>
    <t>Sur Occidente Chico</t>
  </si>
  <si>
    <t>Escuintla</t>
  </si>
  <si>
    <t>Sipacate</t>
  </si>
  <si>
    <t>Masagua</t>
  </si>
  <si>
    <t>Guanagazapa</t>
  </si>
  <si>
    <t>Iztapa</t>
  </si>
  <si>
    <t>San José</t>
  </si>
  <si>
    <t>La Gomera</t>
  </si>
  <si>
    <t>Nueva Concepción</t>
  </si>
  <si>
    <t>Tiquisate</t>
  </si>
  <si>
    <t>San Vicente Pacaya</t>
  </si>
  <si>
    <t>La Democracia</t>
  </si>
  <si>
    <t>Siquinalá</t>
  </si>
  <si>
    <t>Palín</t>
  </si>
  <si>
    <t>Santa Lucía Cotzumalguapa</t>
  </si>
  <si>
    <t>Retalhuleu</t>
  </si>
  <si>
    <t>San Andrés Villa Seca</t>
  </si>
  <si>
    <t>El Asintal</t>
  </si>
  <si>
    <t>Champerico</t>
  </si>
  <si>
    <t>Nuevo San Carlos</t>
  </si>
  <si>
    <t>San Sebastián</t>
  </si>
  <si>
    <t>San Martín Zapotitlán</t>
  </si>
  <si>
    <t>Santa Cruz Muluá</t>
  </si>
  <si>
    <t>San Felipe</t>
  </si>
  <si>
    <t>Santa Rosa</t>
  </si>
  <si>
    <t>Taxisco</t>
  </si>
  <si>
    <t>San Rafael las Flores</t>
  </si>
  <si>
    <t>Casillas</t>
  </si>
  <si>
    <t>Oratorio</t>
  </si>
  <si>
    <t>Nueva Santa Rosa</t>
  </si>
  <si>
    <t>Barberena</t>
  </si>
  <si>
    <t>Pueblo Nuevo Viñas</t>
  </si>
  <si>
    <t>Santa Cruz Naranjo</t>
  </si>
  <si>
    <t>Cuilapa</t>
  </si>
  <si>
    <t>Santa María Ixhuatán</t>
  </si>
  <si>
    <t>Guazacapán</t>
  </si>
  <si>
    <t>Santa Rosa de Lima</t>
  </si>
  <si>
    <t>San Juan Tecuaco</t>
  </si>
  <si>
    <t>Chiquimulilla</t>
  </si>
  <si>
    <t>Suchitepéquez</t>
  </si>
  <si>
    <t>Santa Bárbara</t>
  </si>
  <si>
    <t>San Miguel Panán</t>
  </si>
  <si>
    <t>San Lorenzo</t>
  </si>
  <si>
    <t>Río Bravo</t>
  </si>
  <si>
    <t>San Pablo Jocopilas</t>
  </si>
  <si>
    <t>Chicacao</t>
  </si>
  <si>
    <t>San José La Máquina</t>
  </si>
  <si>
    <t>San Juan Bautista</t>
  </si>
  <si>
    <t>Zunilito</t>
  </si>
  <si>
    <t>San José el Ídolo</t>
  </si>
  <si>
    <t>Santo Domingo Suchitepéquez</t>
  </si>
  <si>
    <t>Patulul</t>
  </si>
  <si>
    <t>San Bernardino</t>
  </si>
  <si>
    <t>Samayac</t>
  </si>
  <si>
    <t>Pueblo Nuevo</t>
  </si>
  <si>
    <t>San Antonio Suchitepéquez</t>
  </si>
  <si>
    <t>San Francisco Zapotitlán</t>
  </si>
  <si>
    <t>San Gabriel</t>
  </si>
  <si>
    <t>Cuyotenango</t>
  </si>
  <si>
    <t>Santo Tomas la Unión</t>
  </si>
  <si>
    <t>Mazatenango</t>
  </si>
  <si>
    <t>Sur Occidente Grande</t>
  </si>
  <si>
    <t>Quetzaltenango</t>
  </si>
  <si>
    <t>San Francisco la Unión</t>
  </si>
  <si>
    <t>Sololá</t>
  </si>
  <si>
    <t>Santa Catarina Palopó</t>
  </si>
  <si>
    <t>Quiché</t>
  </si>
  <si>
    <t>San Bartolomé Jocotenango</t>
  </si>
  <si>
    <t>Almolonga</t>
  </si>
  <si>
    <t>Huehuetenango</t>
  </si>
  <si>
    <t>Santiago Chimaltenango</t>
  </si>
  <si>
    <t>San Juan Atitán</t>
  </si>
  <si>
    <t>Concepción</t>
  </si>
  <si>
    <t>Santa Cruz la Laguna</t>
  </si>
  <si>
    <t>San Antonio Palopó</t>
  </si>
  <si>
    <t>San Gaspar Ixchil</t>
  </si>
  <si>
    <t>San Marcos</t>
  </si>
  <si>
    <t>Ocós</t>
  </si>
  <si>
    <t>Totonicapán</t>
  </si>
  <si>
    <t>San Francisco el Alto</t>
  </si>
  <si>
    <t>Santa María Chiquimula</t>
  </si>
  <si>
    <t>Cajolá</t>
  </si>
  <si>
    <t>El Quetzal</t>
  </si>
  <si>
    <t>Patzité</t>
  </si>
  <si>
    <t>San Andrés Xecul</t>
  </si>
  <si>
    <t>San Mateo Ixtatán</t>
  </si>
  <si>
    <t>Santo Tomás Chichicastenango</t>
  </si>
  <si>
    <t>Zunil</t>
  </si>
  <si>
    <t>Santiago Atitlán</t>
  </si>
  <si>
    <t>La Blanca</t>
  </si>
  <si>
    <t>San Miguel Siguilá</t>
  </si>
  <si>
    <t>San José Ojetenam</t>
  </si>
  <si>
    <t>Chajul</t>
  </si>
  <si>
    <t>Santa Catarina Ixtahuacán</t>
  </si>
  <si>
    <t>Nahualá</t>
  </si>
  <si>
    <t>San Cristóbal Cucho</t>
  </si>
  <si>
    <t>San Martín Sacatepéquez</t>
  </si>
  <si>
    <t>Colomba Costa Cuca</t>
  </si>
  <si>
    <t>Nentón</t>
  </si>
  <si>
    <t>San Miguel Acatán</t>
  </si>
  <si>
    <t>San Antonio Ilotenango</t>
  </si>
  <si>
    <t>Chimaltenango</t>
  </si>
  <si>
    <t>San Pedro Yepocapa</t>
  </si>
  <si>
    <t>La Libertad</t>
  </si>
  <si>
    <t>Ayutla</t>
  </si>
  <si>
    <t>Palestina de los Altos</t>
  </si>
  <si>
    <t>Sibinal</t>
  </si>
  <si>
    <t>La Reforma</t>
  </si>
  <si>
    <t>Flores Costa Cuca</t>
  </si>
  <si>
    <t>Unión Cantinil</t>
  </si>
  <si>
    <t>Santa Lucía la Reforma</t>
  </si>
  <si>
    <t>Colotenango</t>
  </si>
  <si>
    <t>San Rafael Petzal</t>
  </si>
  <si>
    <t>Acatenango</t>
  </si>
  <si>
    <t>El Tumbador</t>
  </si>
  <si>
    <t>San Pablo la Laguna</t>
  </si>
  <si>
    <t>Concepción Huista</t>
  </si>
  <si>
    <t>San Pablo</t>
  </si>
  <si>
    <t>Concepción Chiquirichapa</t>
  </si>
  <si>
    <t>San Juan Cotzal</t>
  </si>
  <si>
    <t>Esquipulas Palo Gordo</t>
  </si>
  <si>
    <t>Canillá</t>
  </si>
  <si>
    <t>San José Poaquil</t>
  </si>
  <si>
    <t>El Palmar</t>
  </si>
  <si>
    <t>Petatán</t>
  </si>
  <si>
    <t>Zacualpa</t>
  </si>
  <si>
    <t>San Carlos Sija</t>
  </si>
  <si>
    <t>San Pedro Soloma</t>
  </si>
  <si>
    <t>San José Chacayá</t>
  </si>
  <si>
    <t>San Lucas Tolimán</t>
  </si>
  <si>
    <t>Génova</t>
  </si>
  <si>
    <t>Cabricán</t>
  </si>
  <si>
    <t>Sacapulas</t>
  </si>
  <si>
    <t>San Bartolo Aguas Calientes</t>
  </si>
  <si>
    <t>Patzicía</t>
  </si>
  <si>
    <t>Sibilia</t>
  </si>
  <si>
    <t>San Miguel Pochuta</t>
  </si>
  <si>
    <t>Parramos</t>
  </si>
  <si>
    <t>Tajumulco</t>
  </si>
  <si>
    <t>San Rafael La Independencia</t>
  </si>
  <si>
    <t>San Marcos la Laguna</t>
  </si>
  <si>
    <t>Cantel</t>
  </si>
  <si>
    <t>Huitán</t>
  </si>
  <si>
    <t>San José el Rodeo</t>
  </si>
  <si>
    <t>Tecpán Guatemala</t>
  </si>
  <si>
    <t>San Andrés Itzapa</t>
  </si>
  <si>
    <t>Momostenango</t>
  </si>
  <si>
    <t>Tacaná</t>
  </si>
  <si>
    <t>Joyabaj</t>
  </si>
  <si>
    <t>San Sebastián Coatán</t>
  </si>
  <si>
    <t>San Pedro Jocopilas</t>
  </si>
  <si>
    <t>Santa Clara la Laguna</t>
  </si>
  <si>
    <t>Patzún</t>
  </si>
  <si>
    <t>Chiché</t>
  </si>
  <si>
    <t>San Sebastián Huehuetenango</t>
  </si>
  <si>
    <t>Tectitán</t>
  </si>
  <si>
    <t>Santa Apolonia</t>
  </si>
  <si>
    <t>Pajapita</t>
  </si>
  <si>
    <t>San Juan Ostuncalco</t>
  </si>
  <si>
    <t>San Antonio Huista</t>
  </si>
  <si>
    <t>Santa Eulalia</t>
  </si>
  <si>
    <t>San Juan Ixcoy</t>
  </si>
  <si>
    <t>Santa María Nebaj</t>
  </si>
  <si>
    <t>San Juan Comalapa</t>
  </si>
  <si>
    <t>San Martín Jilotepeque</t>
  </si>
  <si>
    <t>Santa Cruz del Quiché</t>
  </si>
  <si>
    <t>Santa Cruz Balanyá</t>
  </si>
  <si>
    <t>Concepción Tutuapa</t>
  </si>
  <si>
    <t>Todos Santos Cuchumatán</t>
  </si>
  <si>
    <t>Santa Cruz Barillas</t>
  </si>
  <si>
    <t>San Cristóbal Totonicapán</t>
  </si>
  <si>
    <t>Pachalum</t>
  </si>
  <si>
    <t>San Rafael Pie de la Cuesta</t>
  </si>
  <si>
    <t>Santa Lucía Utatlán</t>
  </si>
  <si>
    <t>San Ildefonso Ixtahuacán</t>
  </si>
  <si>
    <t>Nuevo Progreso</t>
  </si>
  <si>
    <t>El Tejar</t>
  </si>
  <si>
    <t>Chiantla</t>
  </si>
  <si>
    <t>Chicamán</t>
  </si>
  <si>
    <t>San Juan la Laguna</t>
  </si>
  <si>
    <t>Zaragoza</t>
  </si>
  <si>
    <t>Cunén</t>
  </si>
  <si>
    <t>San Mateo</t>
  </si>
  <si>
    <t>Río Blanco</t>
  </si>
  <si>
    <t>Chinique</t>
  </si>
  <si>
    <t>Playa Grande Ixcán</t>
  </si>
  <si>
    <t>Catarina</t>
  </si>
  <si>
    <t>San Pedro la Laguna</t>
  </si>
  <si>
    <t>Sipacapa</t>
  </si>
  <si>
    <t>Comitancillo</t>
  </si>
  <si>
    <t>San Andrés Sajcabajá</t>
  </si>
  <si>
    <t>San Pedro Necta</t>
  </si>
  <si>
    <t>Aguacatán</t>
  </si>
  <si>
    <t>Coatepeque</t>
  </si>
  <si>
    <t>Cuilco</t>
  </si>
  <si>
    <t>Jacaltenango</t>
  </si>
  <si>
    <t>Tejutla</t>
  </si>
  <si>
    <t>San Miguel Uspantán</t>
  </si>
  <si>
    <t>Ixchiguán</t>
  </si>
  <si>
    <t>San Andrés Semetabaj</t>
  </si>
  <si>
    <t>Malacatán</t>
  </si>
  <si>
    <t>Panajachel</t>
  </si>
  <si>
    <t>Malacatancito</t>
  </si>
  <si>
    <t>Salcajá</t>
  </si>
  <si>
    <t>San Miguel Ixtahuacán</t>
  </si>
  <si>
    <t>San Antonio Sacatepéquez</t>
  </si>
  <si>
    <t>La Esperanza</t>
  </si>
  <si>
    <t>San Juan Olintepeque</t>
  </si>
  <si>
    <t>Santa María Visitación</t>
  </si>
  <si>
    <t>Santa Ana Huista</t>
  </si>
  <si>
    <t>Canton</t>
  </si>
  <si>
    <t>Area metropolitana I</t>
  </si>
  <si>
    <t>San Jose</t>
  </si>
  <si>
    <t>Goicoechea</t>
  </si>
  <si>
    <t>Curridabat</t>
  </si>
  <si>
    <t>Moravia</t>
  </si>
  <si>
    <t>Vazquez de Coronado</t>
  </si>
  <si>
    <t>Area metropolitana II</t>
  </si>
  <si>
    <t>Desamparados</t>
  </si>
  <si>
    <t>Cartago</t>
  </si>
  <si>
    <t>Alvarado</t>
  </si>
  <si>
    <t>Tarrazu</t>
  </si>
  <si>
    <t>Leon Cortes Castro</t>
  </si>
  <si>
    <t>Jimenez</t>
  </si>
  <si>
    <t>Perez Zeledon</t>
  </si>
  <si>
    <t>Oreamuno</t>
  </si>
  <si>
    <t>Heredia</t>
  </si>
  <si>
    <t>Area metropolitana III</t>
  </si>
  <si>
    <t>Paraiso</t>
  </si>
  <si>
    <t>Acosta</t>
  </si>
  <si>
    <t>Alajuelita</t>
  </si>
  <si>
    <t>Alajuela</t>
  </si>
  <si>
    <t>Atenas</t>
  </si>
  <si>
    <t>Grecia</t>
  </si>
  <si>
    <t>Guatuso</t>
  </si>
  <si>
    <t>Los Chiles</t>
  </si>
  <si>
    <t>Barva</t>
  </si>
  <si>
    <t>Naranjo</t>
  </si>
  <si>
    <t>Aserri</t>
  </si>
  <si>
    <t>Orotina</t>
  </si>
  <si>
    <t>Palmares</t>
  </si>
  <si>
    <t>Poas</t>
  </si>
  <si>
    <t>San Carlos</t>
  </si>
  <si>
    <t>Turrialba</t>
  </si>
  <si>
    <t>Belen</t>
  </si>
  <si>
    <t>San Ramon</t>
  </si>
  <si>
    <t>Escazu</t>
  </si>
  <si>
    <t>Upala</t>
  </si>
  <si>
    <t>Valverde Vega</t>
  </si>
  <si>
    <t>Zarcero</t>
  </si>
  <si>
    <t>El Guarco</t>
  </si>
  <si>
    <t>La Union</t>
  </si>
  <si>
    <t>Flores</t>
  </si>
  <si>
    <t>San Isidro</t>
  </si>
  <si>
    <t>Montes de Oca</t>
  </si>
  <si>
    <t>San Rafael</t>
  </si>
  <si>
    <t>Mora</t>
  </si>
  <si>
    <t>Puriscal</t>
  </si>
  <si>
    <t>Santa Ana</t>
  </si>
  <si>
    <t>Tibas</t>
  </si>
  <si>
    <t>Santa Barbara</t>
  </si>
  <si>
    <t>Santo Domingo</t>
  </si>
  <si>
    <t>Sarapiqui</t>
  </si>
  <si>
    <t>Sur occidente</t>
  </si>
  <si>
    <t>Guanacaste</t>
  </si>
  <si>
    <t>Abangares</t>
  </si>
  <si>
    <t>Bagaces</t>
  </si>
  <si>
    <t>Canas</t>
  </si>
  <si>
    <t>Carrillo</t>
  </si>
  <si>
    <t>La Cruz</t>
  </si>
  <si>
    <t>No encontrada</t>
  </si>
  <si>
    <t>Liberia</t>
  </si>
  <si>
    <t>Nandayure</t>
  </si>
  <si>
    <t>Nicoya</t>
  </si>
  <si>
    <t>Santa Cruz</t>
  </si>
  <si>
    <t>Tilaran</t>
  </si>
  <si>
    <t>Limon</t>
  </si>
  <si>
    <t>Guacimo</t>
  </si>
  <si>
    <t>Matina</t>
  </si>
  <si>
    <t>Siquirres</t>
  </si>
  <si>
    <t>Talamanca</t>
  </si>
  <si>
    <t>Pococi</t>
  </si>
  <si>
    <t>Puntarenas</t>
  </si>
  <si>
    <t>Aguirre</t>
  </si>
  <si>
    <t>Buenos Aires</t>
  </si>
  <si>
    <t>Corredores</t>
  </si>
  <si>
    <t>Coto Brus</t>
  </si>
  <si>
    <t>Esparza</t>
  </si>
  <si>
    <t>Garabito</t>
  </si>
  <si>
    <t>Golfito</t>
  </si>
  <si>
    <t>Montes de Oro</t>
  </si>
  <si>
    <t>Osa</t>
  </si>
  <si>
    <t>Parrita</t>
  </si>
  <si>
    <t>Region</t>
  </si>
  <si>
    <t xml:space="preserve"> Occidente</t>
  </si>
  <si>
    <t>AHUACHAPAN</t>
  </si>
  <si>
    <t>TACUBA</t>
  </si>
  <si>
    <t>JUJUTLA</t>
  </si>
  <si>
    <t>SAN FRANCISCO MENENDEZ</t>
  </si>
  <si>
    <t>SANTA ANA</t>
  </si>
  <si>
    <t>EL PORVENIR</t>
  </si>
  <si>
    <t>SANTA ROSA GUACHIPILIN</t>
  </si>
  <si>
    <t>SANTIAGO DE LA FRONTERA</t>
  </si>
  <si>
    <t>SONSONATE</t>
  </si>
  <si>
    <t>ACAJUTLA</t>
  </si>
  <si>
    <t>ARMENIA</t>
  </si>
  <si>
    <t>CALUCO</t>
  </si>
  <si>
    <t>CUISNAHUAT</t>
  </si>
  <si>
    <t>GUAYMANGO</t>
  </si>
  <si>
    <t>SAN LORENZO</t>
  </si>
  <si>
    <t>SAN PEDRO PUXTLA</t>
  </si>
  <si>
    <t>MASAHUAT</t>
  </si>
  <si>
    <t>CANDELARIA DE LA FRONTERA</t>
  </si>
  <si>
    <t>COATEPEQUE</t>
  </si>
  <si>
    <t>TEXISTEPEQUE</t>
  </si>
  <si>
    <t>IZALCO</t>
  </si>
  <si>
    <t>JUAYUA</t>
  </si>
  <si>
    <t>NAHUIZALCO</t>
  </si>
  <si>
    <t>CONCEPCION DE ATACO</t>
  </si>
  <si>
    <t>EL REFUGIO</t>
  </si>
  <si>
    <t>EL CONGO</t>
  </si>
  <si>
    <t>METAPAN</t>
  </si>
  <si>
    <t>SAN ANTONIO PAJONAL</t>
  </si>
  <si>
    <t>NAHULINGO</t>
  </si>
  <si>
    <t>SALCOATITAN</t>
  </si>
  <si>
    <t>SAN ANTONIO DEL MONTE</t>
  </si>
  <si>
    <t>SAN JULIAN</t>
  </si>
  <si>
    <t>SANTA CATARINA MASAHUAT</t>
  </si>
  <si>
    <t>ATIQUIZAYA</t>
  </si>
  <si>
    <t>SANTA ISABEL ISHUATAN</t>
  </si>
  <si>
    <t>APANECA</t>
  </si>
  <si>
    <t>TURIN</t>
  </si>
  <si>
    <t>CHALCHUAPA</t>
  </si>
  <si>
    <t>SAN SEBASTIAN SALITRILLO</t>
  </si>
  <si>
    <t>SANTO DOMINGO DE GUZMAN</t>
  </si>
  <si>
    <t>SONZACATE</t>
  </si>
  <si>
    <t>LA LIBERTAD</t>
  </si>
  <si>
    <t>HUIZUCAR</t>
  </si>
  <si>
    <t>SAN JOSE VILLANUEVA</t>
  </si>
  <si>
    <t>SAN SALVADOR</t>
  </si>
  <si>
    <t>CUSCATANCINGO</t>
  </si>
  <si>
    <t>DELGADO</t>
  </si>
  <si>
    <t>ZARAGOZA</t>
  </si>
  <si>
    <t>AYUTUXTEPEQUE</t>
  </si>
  <si>
    <t>MEJICANOS</t>
  </si>
  <si>
    <t>SANTA TECLA</t>
  </si>
  <si>
    <t>ANTIGUO CUSCATLAN</t>
  </si>
  <si>
    <t>ROSARIO DE MORA</t>
  </si>
  <si>
    <t>CUSCATLAN</t>
  </si>
  <si>
    <t>CANDELARIA</t>
  </si>
  <si>
    <t>EL CARMEN</t>
  </si>
  <si>
    <t>ORATORIO DE CONCEPCION</t>
  </si>
  <si>
    <t>MONTE SAN JUAN</t>
  </si>
  <si>
    <t>SAN CRISTOBAL</t>
  </si>
  <si>
    <t>SAN JOSE GUAYABAL</t>
  </si>
  <si>
    <t>SAN PEDRO PERULAPAN</t>
  </si>
  <si>
    <t>SANTA CRUZ MICHAPA</t>
  </si>
  <si>
    <t>SAN RAMON</t>
  </si>
  <si>
    <t>TENANCINGO</t>
  </si>
  <si>
    <t>SUCHITOTO</t>
  </si>
  <si>
    <t>SANTIAGO TEXACUANGOS</t>
  </si>
  <si>
    <t>PANCHIMALCO</t>
  </si>
  <si>
    <t>SAN MARTIN</t>
  </si>
  <si>
    <t>SANTO TOMAS</t>
  </si>
  <si>
    <t>SANTA CRUZ ANALQUITO</t>
  </si>
  <si>
    <t>APOPA</t>
  </si>
  <si>
    <t>SAN MARCOS</t>
  </si>
  <si>
    <t>SOYAPANGO</t>
  </si>
  <si>
    <t>TONACATEPEQUE</t>
  </si>
  <si>
    <t>ILOPANGO</t>
  </si>
  <si>
    <t>SAN BARTOLOME PERULAPIA</t>
  </si>
  <si>
    <t>COJUTEPEQUE</t>
  </si>
  <si>
    <t>Centro III</t>
  </si>
  <si>
    <t>COMASAGUA</t>
  </si>
  <si>
    <t>TAMANIQUE</t>
  </si>
  <si>
    <t>TEOTEPEQUE</t>
  </si>
  <si>
    <t>TEPECOYO</t>
  </si>
  <si>
    <t>EL ROSARIO</t>
  </si>
  <si>
    <t>EL PAISNAL</t>
  </si>
  <si>
    <t>LA PAZ</t>
  </si>
  <si>
    <t>SAN LUIS LA HERRADURA</t>
  </si>
  <si>
    <t>SAN VICENTE</t>
  </si>
  <si>
    <t>SAN ILDEFONSO</t>
  </si>
  <si>
    <t>SANTA CLARA</t>
  </si>
  <si>
    <t>JICALAPA</t>
  </si>
  <si>
    <t>SAN MATIAS</t>
  </si>
  <si>
    <t>TALNIQUE</t>
  </si>
  <si>
    <t>SAN PEDRO NONUALCO</t>
  </si>
  <si>
    <t>CHILTIUPAN</t>
  </si>
  <si>
    <t>SAN PABLO TACACHICO</t>
  </si>
  <si>
    <t>SACACOYO</t>
  </si>
  <si>
    <t>SAN PEDRO MASAHUAT</t>
  </si>
  <si>
    <t>SAN LUIS TALPA</t>
  </si>
  <si>
    <t>GUADALUPE</t>
  </si>
  <si>
    <t>TECOLUCA</t>
  </si>
  <si>
    <t>SAN ANTONIO MASAHUAT</t>
  </si>
  <si>
    <t>SAN JUAN TEPEZONTES</t>
  </si>
  <si>
    <t>TAPALHUACA</t>
  </si>
  <si>
    <t>JERUSALEN</t>
  </si>
  <si>
    <t>SAN EMIGDIO</t>
  </si>
  <si>
    <t>SAN FRANCISCO CHINAMECA</t>
  </si>
  <si>
    <t>CIUDAD ARCE</t>
  </si>
  <si>
    <t>JAYAQUE</t>
  </si>
  <si>
    <t>GUAZAPA</t>
  </si>
  <si>
    <t>SANTIAGO NONUALCO</t>
  </si>
  <si>
    <t>SAN RAFAEL OBRAJUELO</t>
  </si>
  <si>
    <t>APASTEPEQUE</t>
  </si>
  <si>
    <t>SAN CAYETANO ISTEPEQUE</t>
  </si>
  <si>
    <t>SANTO DOMINGO</t>
  </si>
  <si>
    <t>TEPETITAN</t>
  </si>
  <si>
    <t>VERAPAZ</t>
  </si>
  <si>
    <t>MERCEDES LA CEIBA</t>
  </si>
  <si>
    <t>SAN JUAN TALPA</t>
  </si>
  <si>
    <t>SAN MIGUEL TEPEZONTES</t>
  </si>
  <si>
    <t>SANTA MARIA OSTUMA</t>
  </si>
  <si>
    <t>SAN RAFAEL CEDROS</t>
  </si>
  <si>
    <t>AGUILARES</t>
  </si>
  <si>
    <t>NEJAPA</t>
  </si>
  <si>
    <t>QUEZALTEPEQUE</t>
  </si>
  <si>
    <t>SAN JUAN OPICO</t>
  </si>
  <si>
    <t>OLOCUILTA</t>
  </si>
  <si>
    <t>SAN JUAN NONUALCO</t>
  </si>
  <si>
    <t>ZACATECOLUCA</t>
  </si>
  <si>
    <t>SAN ESTEBAN CATARINA</t>
  </si>
  <si>
    <t>SAN SEBASTIAN</t>
  </si>
  <si>
    <t>NUEVO CUSCATLAN</t>
  </si>
  <si>
    <t>CUYULTITAN</t>
  </si>
  <si>
    <t>PARAISO DE OSORIO</t>
  </si>
  <si>
    <t>CABAÑAS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</si>
  <si>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</si>
  <si>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</si>
  <si>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</si>
  <si>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</si>
  <si>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</si>
  <si>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</si>
  <si>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</si>
  <si>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</si>
  <si>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</si>
  <si>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CHALATENANGO</t>
  </si>
  <si>
    <t>AGUA CALIENTE</t>
  </si>
  <si>
    <t>ARCATAO</t>
  </si>
  <si>
    <t>AZACUALPA</t>
  </si>
  <si>
    <t>CANCASQUE</t>
  </si>
  <si>
    <t>CITALA</t>
  </si>
  <si>
    <t>COMALAPA</t>
  </si>
  <si>
    <t>CONCEPCION QUEZALTEPEQUE</t>
  </si>
  <si>
    <t>DULCE NOMBRE DE MARIA</t>
  </si>
  <si>
    <t>EL CARRIZAL</t>
  </si>
  <si>
    <t>EL PARAISO</t>
  </si>
  <si>
    <t>LA LAGUNA</t>
  </si>
  <si>
    <t>LA PALMA</t>
  </si>
  <si>
    <t>LA REINA</t>
  </si>
  <si>
    <t>LAS FLORES</t>
  </si>
  <si>
    <t>LAS VUELTAS</t>
  </si>
  <si>
    <t>NOMBRE DE JESUS</t>
  </si>
  <si>
    <t>NUEVA CONCEPCION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</si>
  <si>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</si>
  <si>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</si>
  <si>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</si>
  <si>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</si>
  <si>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</si>
  <si>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</si>
  <si>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</si>
  <si>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MORAZAN</t>
  </si>
  <si>
    <t>SAN IGNACIO</t>
  </si>
  <si>
    <t>SAN ISIDRO LABRADOR</t>
  </si>
  <si>
    <t>SAN LUIS DEL CARMEN</t>
  </si>
  <si>
    <t>SAN MIGUEL DE MERCEDES</t>
  </si>
  <si>
    <t>SAN RAFAEL</t>
  </si>
  <si>
    <t>SANTA RITA</t>
  </si>
  <si>
    <t>TEJUTLA</t>
  </si>
  <si>
    <t>LA UNION</t>
  </si>
  <si>
    <t>ANAMORÓS</t>
  </si>
  <si>
    <t>BOLIVAR</t>
  </si>
  <si>
    <t>CONCEPCION DE ORIENTE</t>
  </si>
  <si>
    <t>CONCHAGUA</t>
  </si>
  <si>
    <t>EL SAUCE</t>
  </si>
  <si>
    <t>INTIPUCA</t>
  </si>
  <si>
    <t>LISLIQUE</t>
  </si>
  <si>
    <t>MEANGUERA DEL GOLFO</t>
  </si>
  <si>
    <t>NUEVA ESPARTA</t>
  </si>
  <si>
    <t>PASAQUINA</t>
  </si>
  <si>
    <t>POLOROS</t>
  </si>
  <si>
    <t>SAN ALEJO</t>
  </si>
  <si>
    <t>SAN JOSE</t>
  </si>
  <si>
    <t>SANTA ROSA DE LIMA</t>
  </si>
  <si>
    <t>YAYANTIQUE</t>
  </si>
  <si>
    <t>YUCUAIQUIN</t>
  </si>
  <si>
    <t>MORAZÁN</t>
  </si>
  <si>
    <t>ARAMBALA</t>
  </si>
  <si>
    <t>CACAOPERA</t>
  </si>
  <si>
    <t>CHILANGA</t>
  </si>
  <si>
    <t>CORINTO</t>
  </si>
  <si>
    <t>DELICIAS DE CONCEPCION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</si>
  <si>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</si>
  <si>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</si>
  <si>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</si>
  <si>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</si>
  <si>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</si>
  <si>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</si>
  <si>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</si>
  <si>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</si>
  <si>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</si>
  <si>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PERQUIN</t>
  </si>
  <si>
    <t>SAN FRANCISCO GOTERA</t>
  </si>
  <si>
    <t>SAN SIMON</t>
  </si>
  <si>
    <t>SENSEMBRA</t>
  </si>
  <si>
    <t>SOCIEDAD</t>
  </si>
  <si>
    <t>TOROLA</t>
  </si>
  <si>
    <t>YAMABAL</t>
  </si>
  <si>
    <t>YOLOAIQUIN</t>
  </si>
  <si>
    <t>SAN MIGUEL</t>
  </si>
  <si>
    <t>CAROLINA</t>
  </si>
  <si>
    <t>CHAPELTIQUE</t>
  </si>
  <si>
    <t>CHINAMECA</t>
  </si>
  <si>
    <t>CHIRILAGUA</t>
  </si>
  <si>
    <t>CIUDAD BARRIOS</t>
  </si>
  <si>
    <t>COMACARAN</t>
  </si>
  <si>
    <t>EL TRANSITO</t>
  </si>
  <si>
    <t>LOLOTIQUE</t>
  </si>
  <si>
    <t>MONCAGUA</t>
  </si>
  <si>
    <t>NUEVA GUADALUPE</t>
  </si>
  <si>
    <t>NUEVO EDEN DE SAN JUAN</t>
  </si>
  <si>
    <t>QUELEPA</t>
  </si>
  <si>
    <t>SAN ANTONIO</t>
  </si>
  <si>
    <t>SAN GERARDO</t>
  </si>
  <si>
    <t>SAN JORGE</t>
  </si>
  <si>
    <t>SAN LUIS DE LA REINA</t>
  </si>
  <si>
    <t>SAN RAFAEL ORIENTE</t>
  </si>
  <si>
    <t>SESORI</t>
  </si>
  <si>
    <t>ULUAZAPA</t>
  </si>
  <si>
    <t>USULUTAN</t>
  </si>
  <si>
    <t>ALEGRIA</t>
  </si>
  <si>
    <t>BERLIN</t>
  </si>
  <si>
    <t>CALIFORNIA</t>
  </si>
  <si>
    <t>CONCEPCION BATRES</t>
  </si>
  <si>
    <t>EL TRIUNFO</t>
  </si>
  <si>
    <t>EREGUAYQUIN</t>
  </si>
  <si>
    <t>ESTANZUELAS</t>
  </si>
  <si>
    <t>JIQUILISCO</t>
  </si>
  <si>
    <t>JUCUAPA</t>
  </si>
  <si>
    <t>JUCUARAN</t>
  </si>
  <si>
    <t>MERCEDES UMAÑA</t>
  </si>
  <si>
    <t>NUEVA GRANADA</t>
  </si>
  <si>
    <t>OZATLAN</t>
  </si>
  <si>
    <t>PUERTO EL TRIUNFO</t>
  </si>
  <si>
    <t>SAN AGUSTIN</t>
  </si>
  <si>
    <t>SAN BUENAVENTURA</t>
  </si>
  <si>
    <t>SAN DIONISIO</t>
  </si>
  <si>
    <t>SAN FRANCISCO JAVIER</t>
  </si>
  <si>
    <t>SANTA ELENA</t>
  </si>
  <si>
    <t>SANTA MARIA</t>
  </si>
  <si>
    <t>SANTIAGO DE MARIA</t>
  </si>
  <si>
    <t>TECAPAN</t>
  </si>
  <si>
    <t>Norcentral</t>
  </si>
  <si>
    <t>Matagalpa</t>
  </si>
  <si>
    <t>Ciudad Darío</t>
  </si>
  <si>
    <t>El Tuma - La Dalia</t>
  </si>
  <si>
    <t>Matiguás</t>
  </si>
  <si>
    <t>Muy Muy</t>
  </si>
  <si>
    <t>Rancho Grande</t>
  </si>
  <si>
    <t>Boaco</t>
  </si>
  <si>
    <t>Camoapa</t>
  </si>
  <si>
    <t>Teustepe</t>
  </si>
  <si>
    <t>Chontales</t>
  </si>
  <si>
    <t>Acoyapa</t>
  </si>
  <si>
    <t>Comalapa</t>
  </si>
  <si>
    <t>Juigalpa</t>
  </si>
  <si>
    <t>Jinotega</t>
  </si>
  <si>
    <t>El Cuá</t>
  </si>
  <si>
    <t>San José de Bocay</t>
  </si>
  <si>
    <t>San Rafael del Norte</t>
  </si>
  <si>
    <t>San Sebastián de Yalí</t>
  </si>
  <si>
    <t>Rio San Juan</t>
  </si>
  <si>
    <t>El Castillo</t>
  </si>
  <si>
    <t>Santo Tomás</t>
  </si>
  <si>
    <t>Santa María de Pantasma</t>
  </si>
  <si>
    <t>San Dionisio</t>
  </si>
  <si>
    <t>Wiwilí de Jinotega</t>
  </si>
  <si>
    <t>San Ramón</t>
  </si>
  <si>
    <t>Sébaco</t>
  </si>
  <si>
    <t>San Miguelito</t>
  </si>
  <si>
    <t>Chinandega</t>
  </si>
  <si>
    <t>El Viejo</t>
  </si>
  <si>
    <t>Puerto Morazán</t>
  </si>
  <si>
    <t>Somotillo</t>
  </si>
  <si>
    <t>Villanueva</t>
  </si>
  <si>
    <t>Posoltega</t>
  </si>
  <si>
    <t>Chichigalpa</t>
  </si>
  <si>
    <t>Corinto</t>
  </si>
  <si>
    <t>Esteli</t>
  </si>
  <si>
    <t>Condega</t>
  </si>
  <si>
    <t>La Trinidad</t>
  </si>
  <si>
    <t>Estelí</t>
  </si>
  <si>
    <t>Leon</t>
  </si>
  <si>
    <t>El Sauce</t>
  </si>
  <si>
    <t>La Paz Centro</t>
  </si>
  <si>
    <t>Larreynaga</t>
  </si>
  <si>
    <t>León</t>
  </si>
  <si>
    <t>Nagarote</t>
  </si>
  <si>
    <t>Telica</t>
  </si>
  <si>
    <t>Madriz</t>
  </si>
  <si>
    <t>Totogalpa</t>
  </si>
  <si>
    <t>San Juan de Río Coco</t>
  </si>
  <si>
    <t>San Lucas</t>
  </si>
  <si>
    <t>Telpaneca</t>
  </si>
  <si>
    <t>Palacagüina</t>
  </si>
  <si>
    <t>Somoto</t>
  </si>
  <si>
    <t>Nueva Segovia</t>
  </si>
  <si>
    <t>Murra</t>
  </si>
  <si>
    <t>Wiwili de Nueva Segovia</t>
  </si>
  <si>
    <t>Quilalí</t>
  </si>
  <si>
    <t>Ocotal</t>
  </si>
  <si>
    <t>Sur I</t>
  </si>
  <si>
    <t>Managua</t>
  </si>
  <si>
    <t>Villa Carlos Fonseca (Villa El Carmen)</t>
  </si>
  <si>
    <t>El Crucero</t>
  </si>
  <si>
    <t>San Rafael del Sur</t>
  </si>
  <si>
    <t>Tipitapa</t>
  </si>
  <si>
    <t>Carazo</t>
  </si>
  <si>
    <t>Mateare</t>
  </si>
  <si>
    <t>Ciudad Sandino</t>
  </si>
  <si>
    <t>Diriamba</t>
  </si>
  <si>
    <t>Santa Teresa</t>
  </si>
  <si>
    <t>Ticuantepe</t>
  </si>
  <si>
    <t>Jinotepe</t>
  </si>
  <si>
    <t>Sur II</t>
  </si>
  <si>
    <t>Masaya</t>
  </si>
  <si>
    <t>Niquinohomo</t>
  </si>
  <si>
    <t>Rivas</t>
  </si>
  <si>
    <t>Tola</t>
  </si>
  <si>
    <t>Altagracia</t>
  </si>
  <si>
    <t>Granada</t>
  </si>
  <si>
    <t>Nandaime</t>
  </si>
  <si>
    <t>Diriomo</t>
  </si>
  <si>
    <t>Belén</t>
  </si>
  <si>
    <t>Masatepe</t>
  </si>
  <si>
    <t>La Concepción</t>
  </si>
  <si>
    <t>Nindirí</t>
  </si>
  <si>
    <t>San Juan del Sur</t>
  </si>
  <si>
    <t>FRANCISCO MORAZAN</t>
  </si>
  <si>
    <t>TEGUCIGALPA</t>
  </si>
  <si>
    <t>CEDROS</t>
  </si>
  <si>
    <t>COMAYAGUA</t>
  </si>
  <si>
    <t>AJUTERIQUE</t>
  </si>
  <si>
    <t>ESQUIAS</t>
  </si>
  <si>
    <t>HUMUYA</t>
  </si>
  <si>
    <t>CURAREN</t>
  </si>
  <si>
    <t>LA TRINIDAD</t>
  </si>
  <si>
    <t>GUAIMACA</t>
  </si>
  <si>
    <t>LEPATERIQUE</t>
  </si>
  <si>
    <t>LAMANI</t>
  </si>
  <si>
    <t>OJOJONA</t>
  </si>
  <si>
    <t>ORICA</t>
  </si>
  <si>
    <t>REITOCA</t>
  </si>
  <si>
    <t>LAS LAJAS</t>
  </si>
  <si>
    <t>LEJAMANI</t>
  </si>
  <si>
    <t>MEAMBAR</t>
  </si>
  <si>
    <t>MINAS DE ORO</t>
  </si>
  <si>
    <t>SAN JERONIMO</t>
  </si>
  <si>
    <t>SAN JOSE DE COMAYAGUA</t>
  </si>
  <si>
    <t>SABANAGRANDE</t>
  </si>
  <si>
    <t>SAN JOSE DEL POTRERO</t>
  </si>
  <si>
    <t>SAN LUIS</t>
  </si>
  <si>
    <t>SAN ANTONIO DE ORIENTE</t>
  </si>
  <si>
    <t>SIGUATEPEQUE</t>
  </si>
  <si>
    <t>SAN JUAN DE FLORES</t>
  </si>
  <si>
    <t>TAULABE</t>
  </si>
  <si>
    <t>VILLA DE SAN ANTONIO</t>
  </si>
  <si>
    <t>SANTA LUCIA</t>
  </si>
  <si>
    <t>TALANGA</t>
  </si>
  <si>
    <t>VALLE DE ANGELES</t>
  </si>
  <si>
    <t>Nor Occidente I</t>
  </si>
  <si>
    <t>AGUANQUETERIQUE</t>
  </si>
  <si>
    <t>SANTA BARBARA</t>
  </si>
  <si>
    <t>ARADA</t>
  </si>
  <si>
    <t>YORO</t>
  </si>
  <si>
    <t>ARENAL</t>
  </si>
  <si>
    <t>ATIMA</t>
  </si>
  <si>
    <t>LEMPIRA</t>
  </si>
  <si>
    <t>BELEN</t>
  </si>
  <si>
    <t>OCOTEPEQUE</t>
  </si>
  <si>
    <t>BELEN GUALCHO</t>
  </si>
  <si>
    <t>COPAN</t>
  </si>
  <si>
    <t>INTIBUCA</t>
  </si>
  <si>
    <t>CAMASCA</t>
  </si>
  <si>
    <t>CANE</t>
  </si>
  <si>
    <t>CEGUACA</t>
  </si>
  <si>
    <t>CHINACLA</t>
  </si>
  <si>
    <t>CHINDA</t>
  </si>
  <si>
    <t>CORTES</t>
  </si>
  <si>
    <t>CHOLOMA</t>
  </si>
  <si>
    <t>COLOLACA</t>
  </si>
  <si>
    <t>COLOMONCAGUA</t>
  </si>
  <si>
    <t>CONCEPCION</t>
  </si>
  <si>
    <t>CONCEPCION DEL NORTE</t>
  </si>
  <si>
    <t>CONCEPCION DEL SUR</t>
  </si>
  <si>
    <t>COPAN RUINAS</t>
  </si>
  <si>
    <t>CORQUIN</t>
  </si>
  <si>
    <t>CUCUYAGUA</t>
  </si>
  <si>
    <t>DOLORES MERENDON</t>
  </si>
  <si>
    <t>DULCE NOMBRE</t>
  </si>
  <si>
    <t>EL NEGRITO</t>
  </si>
  <si>
    <t>EL NISPERO</t>
  </si>
  <si>
    <t>EL PROGRESO</t>
  </si>
  <si>
    <t>ERANDIQUE</t>
  </si>
  <si>
    <t>FLORIDA</t>
  </si>
  <si>
    <t>FRATERNIDAD</t>
  </si>
  <si>
    <t>GRACIAS</t>
  </si>
  <si>
    <t>GUAJIQUIRO</t>
  </si>
  <si>
    <t>GUALALA</t>
  </si>
  <si>
    <t>GUALCINCE</t>
  </si>
  <si>
    <t>ISLAS DE LA BAHIA</t>
  </si>
  <si>
    <t>GUANAJA</t>
  </si>
  <si>
    <t>GUARITA</t>
  </si>
  <si>
    <t>ILAMA</t>
  </si>
  <si>
    <t>JESUS DE OTORO</t>
  </si>
  <si>
    <t>JOCON</t>
  </si>
  <si>
    <t>JOSE SANTOS GUARDIOLA</t>
  </si>
  <si>
    <t>LA CAMPA</t>
  </si>
  <si>
    <t>LA ENCARNACION</t>
  </si>
  <si>
    <t>LA ESPERANZA</t>
  </si>
  <si>
    <t>LA IGUALA</t>
  </si>
  <si>
    <t>LA JIGUA</t>
  </si>
  <si>
    <t>LA LABOR</t>
  </si>
  <si>
    <t>LA LIMA</t>
  </si>
  <si>
    <t>LA VIRTUD</t>
  </si>
  <si>
    <t>LAS VEGAS</t>
  </si>
  <si>
    <t>LAUTERIQUE</t>
  </si>
  <si>
    <t>LEPAERA</t>
  </si>
  <si>
    <t>LUCERNA</t>
  </si>
  <si>
    <t>MACUELIZO</t>
  </si>
  <si>
    <t>MAGDALENA</t>
  </si>
  <si>
    <t>MAPULACA</t>
  </si>
  <si>
    <t>MARCALA</t>
  </si>
  <si>
    <t>MASAGUARA</t>
  </si>
  <si>
    <t>MERCEDES</t>
  </si>
  <si>
    <t>MERCEDES DE ORIENTE</t>
  </si>
  <si>
    <t>MORAZAN</t>
  </si>
  <si>
    <t>NARANJITO</t>
  </si>
  <si>
    <t>NUEVA ARCADIA</t>
  </si>
  <si>
    <t>NUEVA FRONTERA</t>
  </si>
  <si>
    <t>NUEVO CELILAC</t>
  </si>
  <si>
    <t>NUEVO OCOTEPEQUE</t>
  </si>
  <si>
    <t>OLANCHITO</t>
  </si>
  <si>
    <t>OMOA</t>
  </si>
  <si>
    <t>OPATORO</t>
  </si>
  <si>
    <t>PETOA</t>
  </si>
  <si>
    <t>PIMIENTA</t>
  </si>
  <si>
    <t>PIRAERA</t>
  </si>
  <si>
    <t>POTRERILLOS</t>
  </si>
  <si>
    <t>PROTECCION</t>
  </si>
  <si>
    <t>PUERTO CORTES</t>
  </si>
  <si>
    <t>QUIMISTAN</t>
  </si>
  <si>
    <t>ROATAN</t>
  </si>
  <si>
    <t>SAN ANDRES</t>
  </si>
  <si>
    <t>SAN ANTONIO DE CORTES</t>
  </si>
  <si>
    <t>SAN ANTONIO DEL NORTE</t>
  </si>
  <si>
    <t>SAN FRANCISCO DE OJUERA</t>
  </si>
  <si>
    <t>SAN FRANCISCO DE OPALACA</t>
  </si>
  <si>
    <t>SAN FRANCISCO DE YOJOA</t>
  </si>
  <si>
    <t>SAN FRANCISCO DEL VALLE</t>
  </si>
  <si>
    <t>SAN JOSE DE COLINAS</t>
  </si>
  <si>
    <t>SAN JUAN</t>
  </si>
  <si>
    <t>SAN JUAN DE OPOA</t>
  </si>
  <si>
    <t>SAN JUAN GUARITA</t>
  </si>
  <si>
    <t>SAN MANUEL</t>
  </si>
  <si>
    <t>SAN MANUEL COLOHETE</t>
  </si>
  <si>
    <t>SAN MARCOS DE CAIQUIN</t>
  </si>
  <si>
    <t>SAN MARCOS DE LA SIERRA</t>
  </si>
  <si>
    <t>SAN NICOLAS</t>
  </si>
  <si>
    <t>SAN PEDRO</t>
  </si>
  <si>
    <t>SAN PEDRO DE TUTULE</t>
  </si>
  <si>
    <t>SAN PEDRO SULA</t>
  </si>
  <si>
    <t>SAN PEDRO ZACAPA</t>
  </si>
  <si>
    <t>SAN VICENTE CENTENARIO</t>
  </si>
  <si>
    <t>SANTA CRUZ</t>
  </si>
  <si>
    <t>SANTA CRUZ DE YOJOA</t>
  </si>
  <si>
    <t>SANTA FE</t>
  </si>
  <si>
    <t>SANTA ROSA DE COPAN</t>
  </si>
  <si>
    <t>SANTIAGO DE PURINGLA</t>
  </si>
  <si>
    <t>SENSENTI</t>
  </si>
  <si>
    <t>SINUAPA</t>
  </si>
  <si>
    <t>SULACO</t>
  </si>
  <si>
    <t>TALGUA</t>
  </si>
  <si>
    <t>TAMBLA</t>
  </si>
  <si>
    <t>TOMALA</t>
  </si>
  <si>
    <t>TRINIDAD</t>
  </si>
  <si>
    <t>TRINIDAD DE COPAN</t>
  </si>
  <si>
    <t>UTILA</t>
  </si>
  <si>
    <t>VALLADOLID</t>
  </si>
  <si>
    <t>VERACRUZ</t>
  </si>
  <si>
    <t>VILLANUEVA</t>
  </si>
  <si>
    <t>VIRGINIA</t>
  </si>
  <si>
    <t>YAMARANGUILA</t>
  </si>
  <si>
    <t>YARULA</t>
  </si>
  <si>
    <t>YORITO</t>
  </si>
  <si>
    <t>Nor Occidente II</t>
  </si>
  <si>
    <t>ATLANTIDA</t>
  </si>
  <si>
    <t>ESPARTA</t>
  </si>
  <si>
    <t>IRIONA</t>
  </si>
  <si>
    <t>LIMON</t>
  </si>
  <si>
    <t>SANTA ROSA DE AGUAN</t>
  </si>
  <si>
    <t>ARIZONA</t>
  </si>
  <si>
    <t>BONITO ORIENTAL</t>
  </si>
  <si>
    <t>BALFATE</t>
  </si>
  <si>
    <t>LA MASICA</t>
  </si>
  <si>
    <t>TOCOA</t>
  </si>
  <si>
    <t>TRUJILLO</t>
  </si>
  <si>
    <t>SABA</t>
  </si>
  <si>
    <t>TELA</t>
  </si>
  <si>
    <t>LA CEIBA</t>
  </si>
  <si>
    <t>SONAGUERA</t>
  </si>
  <si>
    <t>Sur Oriente</t>
  </si>
  <si>
    <t>CHOLUTECA</t>
  </si>
  <si>
    <t>APACILAGUA</t>
  </si>
  <si>
    <t>CONCEPCION DE MARIA</t>
  </si>
  <si>
    <t>EL CORPUS</t>
  </si>
  <si>
    <t>MOROLICA</t>
  </si>
  <si>
    <t>SAN ANTONIO DE FLORES</t>
  </si>
  <si>
    <t>ALAUCA</t>
  </si>
  <si>
    <t>LIURE</t>
  </si>
  <si>
    <t>OROPOLI</t>
  </si>
  <si>
    <t>SOLEDAD</t>
  </si>
  <si>
    <t>TEXIGUAT</t>
  </si>
  <si>
    <t>VADO ANCHO</t>
  </si>
  <si>
    <t>YAUYUPE</t>
  </si>
  <si>
    <t>OLANCHO</t>
  </si>
  <si>
    <t>ESQUIPULAS DEL NORTE</t>
  </si>
  <si>
    <t>GUATA</t>
  </si>
  <si>
    <t>JANO</t>
  </si>
  <si>
    <t>MANTO</t>
  </si>
  <si>
    <t>SILCA</t>
  </si>
  <si>
    <t>YOCON</t>
  </si>
  <si>
    <t>VALLE</t>
  </si>
  <si>
    <t>ALIANZA</t>
  </si>
  <si>
    <t>ARAMECINA</t>
  </si>
  <si>
    <t>CARIDAD</t>
  </si>
  <si>
    <t>NAMASIGUE</t>
  </si>
  <si>
    <t>MARCOVIA</t>
  </si>
  <si>
    <t>SAN FRANCISCO DE CORAY</t>
  </si>
  <si>
    <t>SANTA ANA DE YUSGUARE</t>
  </si>
  <si>
    <t>SAN LUCAS</t>
  </si>
  <si>
    <t>SAN FRANCISCO DE BECERRA</t>
  </si>
  <si>
    <t>GUAYAPE</t>
  </si>
  <si>
    <t>GUARIZAMA</t>
  </si>
  <si>
    <t>MOROCELI</t>
  </si>
  <si>
    <t>AMAPALA</t>
  </si>
  <si>
    <t>SANTA MARIA DEL REAL</t>
  </si>
  <si>
    <t>DUYURE</t>
  </si>
  <si>
    <t>CONCORDIA</t>
  </si>
  <si>
    <t>DULCE NOMBRE DE CULMI</t>
  </si>
  <si>
    <t>NACAOME</t>
  </si>
  <si>
    <t>SALAMA</t>
  </si>
  <si>
    <t>YUSCARAN</t>
  </si>
  <si>
    <t>Campamento</t>
  </si>
  <si>
    <t>MANGULILE</t>
  </si>
  <si>
    <t>SAN FRANCISCO DE LA PAZ</t>
  </si>
  <si>
    <t>PATUCA</t>
  </si>
  <si>
    <t>TROJES</t>
  </si>
  <si>
    <t>GUINOPE</t>
  </si>
  <si>
    <t>CATACAMAS</t>
  </si>
  <si>
    <t>SAN ESTEBAN</t>
  </si>
  <si>
    <t>JUTICALPA</t>
  </si>
  <si>
    <t>LANGUE</t>
  </si>
  <si>
    <t>SAN MARCOS DE COLON</t>
  </si>
  <si>
    <t>GUALACO</t>
  </si>
  <si>
    <t>JACALEAPA</t>
  </si>
  <si>
    <t>TEUPASENTI</t>
  </si>
  <si>
    <t>DANLI</t>
  </si>
  <si>
    <t>GOASCORAN</t>
  </si>
  <si>
    <t>PESPIRE</t>
  </si>
  <si>
    <t>OROCUINA</t>
  </si>
  <si>
    <t>VILLA DE SAN FRANCISCO</t>
  </si>
  <si>
    <t>Provincia_Nombre</t>
  </si>
  <si>
    <t>Municipio, Distrito Municipal y Zona</t>
  </si>
  <si>
    <t>Cibao sin Santiago</t>
  </si>
  <si>
    <t>Duarte</t>
  </si>
  <si>
    <t>San Francisco de Macorís</t>
  </si>
  <si>
    <t>Espaillat</t>
  </si>
  <si>
    <t>Moca</t>
  </si>
  <si>
    <t>La Veja</t>
  </si>
  <si>
    <t>La Vega</t>
  </si>
  <si>
    <t>Constanza</t>
  </si>
  <si>
    <t>Jarabacoa</t>
  </si>
  <si>
    <t>María Trinidad Sánchez</t>
  </si>
  <si>
    <t>Nagua</t>
  </si>
  <si>
    <t>Monseñor Nouel</t>
  </si>
  <si>
    <t>Bonao</t>
  </si>
  <si>
    <t>Maimón</t>
  </si>
  <si>
    <t>Puerto Plata</t>
  </si>
  <si>
    <t>Sánchez Ramírez</t>
  </si>
  <si>
    <t>Cotuí</t>
  </si>
  <si>
    <t>Santiago Rodríguez</t>
  </si>
  <si>
    <t>San Ignacio de Sabaneta</t>
  </si>
  <si>
    <t>Valverde</t>
  </si>
  <si>
    <t>Mao</t>
  </si>
  <si>
    <t>Esperanza</t>
  </si>
  <si>
    <t>Santiago</t>
  </si>
  <si>
    <t>Bisonó</t>
  </si>
  <si>
    <t>Hato del Yaque (D.M.)</t>
  </si>
  <si>
    <t>Pendiente</t>
  </si>
  <si>
    <t>Tamboril</t>
  </si>
  <si>
    <t>Santo Domingo + Distrito Nacional</t>
  </si>
  <si>
    <t>Distrito Nacional</t>
  </si>
  <si>
    <t>Santo Domingo de Guzmán</t>
  </si>
  <si>
    <t>Santo Domingo Este</t>
  </si>
  <si>
    <t>San Luis (D.M.)</t>
  </si>
  <si>
    <t>Santo Domingo Oeste</t>
  </si>
  <si>
    <t>Santo Domingo Norte</t>
  </si>
  <si>
    <t>La Victoria (D.M.)</t>
  </si>
  <si>
    <t>Boca Chica</t>
  </si>
  <si>
    <t>La Caleta (D.M.)</t>
  </si>
  <si>
    <t>Los Alcarrizos</t>
  </si>
  <si>
    <t>Pantoja (D.M.)</t>
  </si>
  <si>
    <t>Pedro Brand</t>
  </si>
  <si>
    <t>La Guáyiga (D.M.)</t>
  </si>
  <si>
    <t>Sureste sin Santo Domingo y DN</t>
  </si>
  <si>
    <t>La Altagracia</t>
  </si>
  <si>
    <t>Higüey</t>
  </si>
  <si>
    <t>Verón Punta Cana (D.M.)</t>
  </si>
  <si>
    <t>La Romana</t>
  </si>
  <si>
    <t>Villa Hermosa</t>
  </si>
  <si>
    <t>San Pedro de Macorís</t>
  </si>
  <si>
    <t>Consuelo</t>
  </si>
  <si>
    <t>Quisqueya</t>
  </si>
  <si>
    <t>Monte Plata</t>
  </si>
  <si>
    <t>Bayaguana</t>
  </si>
  <si>
    <t>Sabana Grande de Boyá</t>
  </si>
  <si>
    <t>Suroeste</t>
  </si>
  <si>
    <t>Azua</t>
  </si>
  <si>
    <t>Peravia</t>
  </si>
  <si>
    <t>Baní</t>
  </si>
  <si>
    <t>San Cristóbal</t>
  </si>
  <si>
    <t>Bajos de Haina</t>
  </si>
  <si>
    <t>Villa Altagracia</t>
  </si>
  <si>
    <t>San José de Ocoa</t>
  </si>
  <si>
    <t>Barohona</t>
  </si>
  <si>
    <t>Barahona</t>
  </si>
  <si>
    <t>Villa Central (D.M.)</t>
  </si>
  <si>
    <t>San Juan</t>
  </si>
  <si>
    <t>Solo encontre: San Juan de la Maguana</t>
  </si>
  <si>
    <t>Las Matas de Farfán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</si>
</sst>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1"/>
      <name val="Aptos Narrow"/>
      <family val="2"/>
    </font>
    <font>
      <sz val="9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0"/>
      <name val="Calibri"/>
      <family val="2"/>
      <scheme val="minor"/>
    </font>
    <font>
      <sz val="11"/>
      <color rgb="FF000000"/>
      <name val="Aptos Narrow"/>
      <family val="2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D973"/>
        <bgColor rgb="FF00000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2" fillId="0" borderId="0" xfId="0" applyFont="1"/>
    <xf numFmtId="0" fontId="8" fillId="0" borderId="0" xfId="0" applyFont="1"/>
    <xf numFmtId="0" fontId="4" fillId="0" borderId="0" xfId="3" applyFont="1"/>
    <xf numFmtId="0" fontId="1" fillId="0" borderId="0" xfId="1"/>
    <xf numFmtId="0" fontId="9" fillId="2" borderId="0" xfId="1" applyFont="1" applyFill="1" applyAlignment="1">
      <alignment wrapText="1"/>
    </xf>
    <xf numFmtId="0" fontId="9" fillId="2" borderId="0" xfId="1" applyFont="1" applyFill="1"/>
    <xf numFmtId="0" fontId="8" fillId="0" borderId="0" xfId="1" applyFont="1"/>
    <xf numFmtId="0" fontId="10" fillId="2" borderId="0" xfId="0" applyFont="1" applyFill="1" applyAlignment="1">
      <alignment wrapText="1"/>
    </xf>
    <xf numFmtId="0" fontId="10" fillId="2" borderId="0" xfId="0" applyFont="1" applyFill="1"/>
    <xf numFmtId="0" fontId="2" fillId="3" borderId="0" xfId="0" applyFont="1" applyFill="1"/>
    <xf numFmtId="0" fontId="11" fillId="4" borderId="0" xfId="0" applyFont="1" applyFill="1"/>
    <xf numFmtId="0" fontId="8" fillId="3" borderId="0" xfId="1" applyFont="1" applyFill="1"/>
    <xf numFmtId="0" fontId="3" fillId="5" borderId="0" xfId="2" applyFill="1"/>
    <xf numFmtId="0" fontId="4" fillId="3" borderId="0" xfId="3" applyFont="1" applyFill="1"/>
    <xf numFmtId="0" fontId="0" fillId="3" borderId="0" xfId="0" applyFill="1"/>
    <xf numFmtId="0" fontId="6" fillId="3" borderId="0" xfId="0" applyFont="1" applyFill="1"/>
    <xf numFmtId="0" fontId="12" fillId="0" borderId="0" xfId="0" applyFont="1"/>
    <xf numFmtId="0" fontId="8" fillId="3" borderId="0" xfId="0" applyFont="1" applyFill="1"/>
    <xf numFmtId="0" fontId="13" fillId="0" borderId="0" xfId="0" applyFont="1"/>
  </cellXfs>
  <cellStyles count="4">
    <cellStyle name="Normal" xfId="0" builtinId="0"/>
    <cellStyle name="Normal 2" xfId="1" xr:uid="{853AEE02-5167-4569-8384-6A62004209C8}"/>
    <cellStyle name="Normal 2 2" xfId="3" xr:uid="{1436980E-B6CA-46AA-9AF6-5399C8D3FDFF}"/>
    <cellStyle name="Normal 3" xfId="2" xr:uid="{FAB5C7DF-EFF4-4908-9239-EE99D53C6C18}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lma, Matias ()" id="{3F441E5C-C7CC-4385-9969-E588F184CB2D}" userId="S::Matias.Calma@kantar.com::15a3936e-0f75-412f-beed-ff995c272123" providerId="AD"/>
</personList>
</file>

<file path=xl/theme/theme1.xml><?xml version="1.0" encoding="utf-8"?>
<a:theme xmlns:a="http://schemas.openxmlformats.org/drawingml/2006/main" name="Office 2013 - Tema de 2022">
  <a:themeElements>
    <a:clrScheme name="Verde 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2-09-30T18:37:10.17" personId="{3F441E5C-C7CC-4385-9969-E588F184CB2D}" id="{8D672151-AEFD-4447-964C-9266D1FDB97D}">
    <text>FIGURABA COMO DISTRITO CENTRAL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" dT="2022-09-30T18:37:10.17" personId="{3F441E5C-C7CC-4385-9969-E588F184CB2D}" id="{FB3B5CF3-A994-4186-B256-1619CAF6D3AB}">
    <text>FIGURABA COMO DISTRITO CENTRAL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stadisticas.contraloria.gob.pa/Resultados2010/cuadros/Distrito.aspx?ID=0402" TargetMode="External"/><Relationship Id="rId3" Type="http://schemas.openxmlformats.org/officeDocument/2006/relationships/hyperlink" Target="http://estadisticas.contraloria.gob.pa/Resultados2010/cuadros/Distrito.aspx?ID=0407" TargetMode="External"/><Relationship Id="rId7" Type="http://schemas.openxmlformats.org/officeDocument/2006/relationships/hyperlink" Target="http://estadisticas.contraloria.gob.pa/Resultados2010/cuadros/Distrito.aspx?ID=0403" TargetMode="External"/><Relationship Id="rId2" Type="http://schemas.openxmlformats.org/officeDocument/2006/relationships/hyperlink" Target="http://estadisticas.contraloria.gob.pa/Resultados2010/cuadros/Distrito.aspx?ID=0408" TargetMode="External"/><Relationship Id="rId1" Type="http://schemas.openxmlformats.org/officeDocument/2006/relationships/hyperlink" Target="http://estadisticas.contraloria.gob.pa/Resultados2010/cuadros/Distrito.aspx?ID=0601" TargetMode="External"/><Relationship Id="rId6" Type="http://schemas.openxmlformats.org/officeDocument/2006/relationships/hyperlink" Target="http://estadisticas.contraloria.gob.pa/Resultados2010/cuadros/Distrito.aspx?ID=0404" TargetMode="External"/><Relationship Id="rId5" Type="http://schemas.openxmlformats.org/officeDocument/2006/relationships/hyperlink" Target="http://estadisticas.contraloria.gob.pa/Resultados2010/cuadros/Distrito.aspx?ID=0405" TargetMode="External"/><Relationship Id="rId4" Type="http://schemas.openxmlformats.org/officeDocument/2006/relationships/hyperlink" Target="http://estadisticas.contraloria.gob.pa/Resultados2010/cuadros/Distrito.aspx?ID=0406" TargetMode="External"/><Relationship Id="rId9" Type="http://schemas.openxmlformats.org/officeDocument/2006/relationships/hyperlink" Target="http://estadisticas.contraloria.gob.pa/Resultados2010/cuadros/Distrito.aspx?ID=0807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FCF2-0B61-41A1-8835-2B491991647F}">
  <dimension ref="A1:E52"/>
  <sheetViews>
    <sheetView workbookViewId="0">
      <selection activeCell="P52" sqref="P52"/>
    </sheetView>
  </sheetViews>
  <sheetFormatPr baseColWidth="10" defaultColWidth="11.44140625" defaultRowHeight="14.4" x14ac:dyDescent="0.3"/>
  <cols>
    <col min="2" max="2" width="16.109375" bestFit="1" customWidth="1"/>
    <col min="3" max="3" width="24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0</v>
      </c>
    </row>
    <row r="2" spans="1:5" x14ac:dyDescent="0.3">
      <c r="A2" s="2" t="s">
        <v>3</v>
      </c>
      <c r="B2" s="2" t="s">
        <v>4</v>
      </c>
      <c r="C2" s="2" t="s">
        <v>5</v>
      </c>
      <c r="D2" s="2" t="s">
        <v>3</v>
      </c>
      <c r="E2" s="16" t="str">
        <f>B2&amp;", "&amp;C2&amp;", Panama"</f>
        <v>CHIRIQUÍ, ALANJE, Panama</v>
      </c>
    </row>
    <row r="3" spans="1:5" x14ac:dyDescent="0.3">
      <c r="A3" s="2" t="s">
        <v>3</v>
      </c>
      <c r="B3" s="2" t="s">
        <v>4</v>
      </c>
      <c r="C3" s="19" t="s">
        <v>6</v>
      </c>
      <c r="D3" s="2" t="s">
        <v>3</v>
      </c>
      <c r="E3" s="16" t="str">
        <f t="shared" ref="E3:E50" si="0">B3&amp;", "&amp;C3&amp;", Panama"</f>
        <v>CHIRIQUÍ, BARU, Panama</v>
      </c>
    </row>
    <row r="4" spans="1:5" x14ac:dyDescent="0.3">
      <c r="A4" s="2" t="s">
        <v>3</v>
      </c>
      <c r="B4" s="2" t="s">
        <v>7</v>
      </c>
      <c r="C4" s="2" t="s">
        <v>8</v>
      </c>
      <c r="D4" s="2" t="s">
        <v>3</v>
      </c>
      <c r="E4" s="16" t="str">
        <f t="shared" si="0"/>
        <v>HERRERA, CHITRE, Panama</v>
      </c>
    </row>
    <row r="5" spans="1:5" x14ac:dyDescent="0.3">
      <c r="A5" s="2" t="s">
        <v>3</v>
      </c>
      <c r="B5" s="2" t="s">
        <v>9</v>
      </c>
      <c r="C5" s="2" t="s">
        <v>10</v>
      </c>
      <c r="D5" s="2" t="s">
        <v>3</v>
      </c>
      <c r="E5" s="16" t="str">
        <f t="shared" si="0"/>
        <v>VERAGUAS, ATALAYA, Panama</v>
      </c>
    </row>
    <row r="6" spans="1:5" x14ac:dyDescent="0.3">
      <c r="A6" s="2" t="s">
        <v>3</v>
      </c>
      <c r="B6" s="2" t="s">
        <v>4</v>
      </c>
      <c r="C6" s="2" t="s">
        <v>11</v>
      </c>
      <c r="D6" s="2" t="s">
        <v>3</v>
      </c>
      <c r="E6" s="16" t="str">
        <f t="shared" si="0"/>
        <v>CHIRIQUÍ, BOQUERON, Panama</v>
      </c>
    </row>
    <row r="7" spans="1:5" x14ac:dyDescent="0.3">
      <c r="A7" s="2" t="s">
        <v>3</v>
      </c>
      <c r="B7" s="2" t="s">
        <v>4</v>
      </c>
      <c r="C7" s="2" t="s">
        <v>12</v>
      </c>
      <c r="D7" s="2" t="s">
        <v>3</v>
      </c>
      <c r="E7" s="16" t="str">
        <f t="shared" si="0"/>
        <v>CHIRIQUÍ, BOQUETE, Panama</v>
      </c>
    </row>
    <row r="8" spans="1:5" x14ac:dyDescent="0.3">
      <c r="A8" s="2" t="s">
        <v>3</v>
      </c>
      <c r="B8" s="2" t="s">
        <v>9</v>
      </c>
      <c r="C8" s="2" t="s">
        <v>13</v>
      </c>
      <c r="D8" s="2" t="s">
        <v>3</v>
      </c>
      <c r="E8" s="16" t="str">
        <f t="shared" si="0"/>
        <v>VERAGUAS, CALOBRE, Panama</v>
      </c>
    </row>
    <row r="9" spans="1:5" x14ac:dyDescent="0.3">
      <c r="A9" s="2" t="s">
        <v>3</v>
      </c>
      <c r="B9" s="2" t="s">
        <v>9</v>
      </c>
      <c r="C9" s="2" t="s">
        <v>14</v>
      </c>
      <c r="D9" s="2" t="s">
        <v>3</v>
      </c>
      <c r="E9" s="16" t="str">
        <f t="shared" si="0"/>
        <v>VERAGUAS, CAÑAZAS, Panama</v>
      </c>
    </row>
    <row r="10" spans="1:5" x14ac:dyDescent="0.3">
      <c r="A10" s="2" t="s">
        <v>3</v>
      </c>
      <c r="B10" s="2" t="s">
        <v>9</v>
      </c>
      <c r="C10" s="2" t="s">
        <v>15</v>
      </c>
      <c r="D10" s="2" t="s">
        <v>3</v>
      </c>
      <c r="E10" s="16" t="str">
        <f t="shared" si="0"/>
        <v>VERAGUAS, LA MESA, Panama</v>
      </c>
    </row>
    <row r="11" spans="1:5" x14ac:dyDescent="0.3">
      <c r="A11" s="2" t="s">
        <v>3</v>
      </c>
      <c r="B11" s="2" t="s">
        <v>9</v>
      </c>
      <c r="C11" s="2" t="s">
        <v>16</v>
      </c>
      <c r="D11" s="2" t="s">
        <v>3</v>
      </c>
      <c r="E11" s="16" t="str">
        <f t="shared" si="0"/>
        <v>VERAGUAS, LAS PALMAS, Panama</v>
      </c>
    </row>
    <row r="12" spans="1:5" x14ac:dyDescent="0.3">
      <c r="A12" s="2" t="s">
        <v>3</v>
      </c>
      <c r="B12" s="2" t="s">
        <v>9</v>
      </c>
      <c r="C12" s="2" t="s">
        <v>17</v>
      </c>
      <c r="D12" s="2" t="s">
        <v>3</v>
      </c>
      <c r="E12" s="16" t="str">
        <f t="shared" si="0"/>
        <v>VERAGUAS, MONTIJO, Panama</v>
      </c>
    </row>
    <row r="13" spans="1:5" x14ac:dyDescent="0.3">
      <c r="A13" s="2" t="s">
        <v>3</v>
      </c>
      <c r="B13" s="2" t="s">
        <v>9</v>
      </c>
      <c r="C13" s="2" t="s">
        <v>18</v>
      </c>
      <c r="D13" s="2" t="s">
        <v>3</v>
      </c>
      <c r="E13" s="16" t="str">
        <f t="shared" si="0"/>
        <v>VERAGUAS, SAN FRANCISCO, Panama</v>
      </c>
    </row>
    <row r="14" spans="1:5" x14ac:dyDescent="0.3">
      <c r="A14" s="2" t="s">
        <v>3</v>
      </c>
      <c r="B14" s="2" t="s">
        <v>4</v>
      </c>
      <c r="C14" s="2" t="s">
        <v>19</v>
      </c>
      <c r="D14" s="2" t="s">
        <v>3</v>
      </c>
      <c r="E14" s="16" t="str">
        <f t="shared" si="0"/>
        <v>CHIRIQUÍ, BUGABA, Panama</v>
      </c>
    </row>
    <row r="15" spans="1:5" x14ac:dyDescent="0.3">
      <c r="A15" s="2" t="s">
        <v>3</v>
      </c>
      <c r="B15" s="2" t="s">
        <v>4</v>
      </c>
      <c r="C15" s="2" t="s">
        <v>20</v>
      </c>
      <c r="D15" s="2" t="s">
        <v>3</v>
      </c>
      <c r="E15" s="16" t="str">
        <f t="shared" si="0"/>
        <v>CHIRIQUÍ, DAVID, Panama</v>
      </c>
    </row>
    <row r="16" spans="1:5" x14ac:dyDescent="0.3">
      <c r="A16" s="2" t="s">
        <v>3</v>
      </c>
      <c r="B16" s="2" t="s">
        <v>21</v>
      </c>
      <c r="C16" s="2" t="s">
        <v>21</v>
      </c>
      <c r="D16" s="2" t="s">
        <v>3</v>
      </c>
      <c r="E16" s="16" t="str">
        <f t="shared" si="0"/>
        <v>BOCAS DEL TORO, BOCAS DEL TORO, Panama</v>
      </c>
    </row>
    <row r="17" spans="1:5" x14ac:dyDescent="0.3">
      <c r="A17" s="2" t="s">
        <v>3</v>
      </c>
      <c r="B17" s="2" t="s">
        <v>21</v>
      </c>
      <c r="C17" s="2" t="s">
        <v>22</v>
      </c>
      <c r="D17" s="2" t="s">
        <v>3</v>
      </c>
      <c r="E17" s="16" t="str">
        <f t="shared" si="0"/>
        <v>BOCAS DEL TORO, CHANGUINOLA, Panama</v>
      </c>
    </row>
    <row r="18" spans="1:5" x14ac:dyDescent="0.3">
      <c r="A18" s="2" t="s">
        <v>3</v>
      </c>
      <c r="B18" s="2" t="s">
        <v>21</v>
      </c>
      <c r="C18" s="2" t="s">
        <v>23</v>
      </c>
      <c r="D18" s="2" t="s">
        <v>3</v>
      </c>
      <c r="E18" s="16" t="str">
        <f t="shared" si="0"/>
        <v>BOCAS DEL TORO, CHIRIQUI GRANDE, Panama</v>
      </c>
    </row>
    <row r="19" spans="1:5" x14ac:dyDescent="0.3">
      <c r="A19" s="2" t="s">
        <v>3</v>
      </c>
      <c r="B19" s="2" t="s">
        <v>4</v>
      </c>
      <c r="C19" s="2" t="s">
        <v>24</v>
      </c>
      <c r="D19" s="2" t="s">
        <v>3</v>
      </c>
      <c r="E19" s="16" t="str">
        <f t="shared" si="0"/>
        <v>CHIRIQUÍ, DOLEGA, Panama</v>
      </c>
    </row>
    <row r="20" spans="1:5" x14ac:dyDescent="0.3">
      <c r="A20" s="2" t="s">
        <v>3</v>
      </c>
      <c r="B20" s="2" t="s">
        <v>4</v>
      </c>
      <c r="C20" s="2" t="s">
        <v>25</v>
      </c>
      <c r="D20" s="2" t="s">
        <v>3</v>
      </c>
      <c r="E20" s="16" t="str">
        <f t="shared" si="0"/>
        <v>CHIRIQUÍ, GUALACA, Panama</v>
      </c>
    </row>
    <row r="21" spans="1:5" x14ac:dyDescent="0.3">
      <c r="A21" s="2" t="s">
        <v>3</v>
      </c>
      <c r="B21" s="2" t="s">
        <v>4</v>
      </c>
      <c r="C21" s="19" t="s">
        <v>26</v>
      </c>
      <c r="D21" s="2" t="s">
        <v>3</v>
      </c>
      <c r="E21" s="16" t="str">
        <f t="shared" si="0"/>
        <v>CHIRIQUÍ, RENACIMIENTO, Panama</v>
      </c>
    </row>
    <row r="22" spans="1:5" x14ac:dyDescent="0.3">
      <c r="A22" s="2" t="s">
        <v>3</v>
      </c>
      <c r="B22" s="2" t="s">
        <v>4</v>
      </c>
      <c r="C22" s="2" t="s">
        <v>27</v>
      </c>
      <c r="D22" s="2" t="s">
        <v>3</v>
      </c>
      <c r="E22" s="16" t="str">
        <f t="shared" si="0"/>
        <v>CHIRIQUÍ, TOLE, Panama</v>
      </c>
    </row>
    <row r="23" spans="1:5" x14ac:dyDescent="0.3">
      <c r="A23" s="2" t="s">
        <v>3</v>
      </c>
      <c r="B23" s="2" t="s">
        <v>7</v>
      </c>
      <c r="C23" s="2" t="s">
        <v>28</v>
      </c>
      <c r="D23" s="2" t="s">
        <v>3</v>
      </c>
      <c r="E23" s="16" t="str">
        <f t="shared" si="0"/>
        <v>HERRERA, OCU, Panama</v>
      </c>
    </row>
    <row r="24" spans="1:5" x14ac:dyDescent="0.3">
      <c r="A24" s="2" t="s">
        <v>3</v>
      </c>
      <c r="B24" s="2" t="s">
        <v>7</v>
      </c>
      <c r="C24" s="2" t="s">
        <v>29</v>
      </c>
      <c r="D24" s="2" t="s">
        <v>3</v>
      </c>
      <c r="E24" s="16" t="str">
        <f t="shared" si="0"/>
        <v>HERRERA, PESE, Panama</v>
      </c>
    </row>
    <row r="25" spans="1:5" x14ac:dyDescent="0.3">
      <c r="A25" s="2" t="s">
        <v>3</v>
      </c>
      <c r="B25" s="2" t="s">
        <v>9</v>
      </c>
      <c r="C25" s="2" t="s">
        <v>30</v>
      </c>
      <c r="D25" s="2" t="s">
        <v>3</v>
      </c>
      <c r="E25" s="16" t="str">
        <f t="shared" si="0"/>
        <v>VERAGUAS, SANTA FÉ, Panama</v>
      </c>
    </row>
    <row r="26" spans="1:5" x14ac:dyDescent="0.3">
      <c r="A26" s="2" t="s">
        <v>3</v>
      </c>
      <c r="B26" s="2" t="s">
        <v>9</v>
      </c>
      <c r="C26" s="2" t="s">
        <v>31</v>
      </c>
      <c r="D26" s="2" t="s">
        <v>3</v>
      </c>
      <c r="E26" s="16" t="str">
        <f t="shared" si="0"/>
        <v>VERAGUAS, SANTIAGO, Panama</v>
      </c>
    </row>
    <row r="27" spans="1:5" x14ac:dyDescent="0.3">
      <c r="A27" s="2" t="s">
        <v>3</v>
      </c>
      <c r="B27" s="2" t="s">
        <v>9</v>
      </c>
      <c r="C27" s="2" t="s">
        <v>32</v>
      </c>
      <c r="D27" s="2" t="s">
        <v>3</v>
      </c>
      <c r="E27" s="16" t="str">
        <f t="shared" si="0"/>
        <v>VERAGUAS, SONA, Panama</v>
      </c>
    </row>
    <row r="28" spans="1:5" x14ac:dyDescent="0.3">
      <c r="A28" s="2" t="s">
        <v>33</v>
      </c>
      <c r="B28" s="2" t="s">
        <v>34</v>
      </c>
      <c r="C28" s="2" t="s">
        <v>35</v>
      </c>
      <c r="D28" s="2" t="s">
        <v>33</v>
      </c>
      <c r="E28" s="16" t="str">
        <f t="shared" si="0"/>
        <v>COLÓN, COLON, Panama</v>
      </c>
    </row>
    <row r="29" spans="1:5" x14ac:dyDescent="0.3">
      <c r="A29" s="2" t="s">
        <v>33</v>
      </c>
      <c r="B29" s="2" t="s">
        <v>36</v>
      </c>
      <c r="C29" s="2" t="s">
        <v>37</v>
      </c>
      <c r="D29" s="2" t="s">
        <v>33</v>
      </c>
      <c r="E29" s="16" t="str">
        <f t="shared" si="0"/>
        <v>DARIÉN, PINOGANA, Panama</v>
      </c>
    </row>
    <row r="30" spans="1:5" x14ac:dyDescent="0.3">
      <c r="A30" s="2" t="s">
        <v>33</v>
      </c>
      <c r="B30" s="2" t="s">
        <v>36</v>
      </c>
      <c r="C30" s="2" t="s">
        <v>38</v>
      </c>
      <c r="D30" s="2" t="s">
        <v>33</v>
      </c>
      <c r="E30" s="16" t="str">
        <f t="shared" si="0"/>
        <v>DARIÉN, CHEPIGANA, Panama</v>
      </c>
    </row>
    <row r="31" spans="1:5" x14ac:dyDescent="0.3">
      <c r="A31" s="2" t="s">
        <v>33</v>
      </c>
      <c r="B31" s="2" t="s">
        <v>34</v>
      </c>
      <c r="C31" s="2" t="s">
        <v>39</v>
      </c>
      <c r="D31" s="2" t="s">
        <v>33</v>
      </c>
      <c r="E31" s="16" t="str">
        <f t="shared" si="0"/>
        <v>COLÓN, PORTOBELO, Panama</v>
      </c>
    </row>
    <row r="32" spans="1:5" x14ac:dyDescent="0.3">
      <c r="A32" s="2" t="s">
        <v>33</v>
      </c>
      <c r="B32" s="2" t="s">
        <v>34</v>
      </c>
      <c r="C32" s="2" t="s">
        <v>40</v>
      </c>
      <c r="D32" s="2" t="s">
        <v>33</v>
      </c>
      <c r="E32" s="16" t="str">
        <f t="shared" si="0"/>
        <v>COLÓN, CHAGRES, Panama</v>
      </c>
    </row>
    <row r="33" spans="1:5" x14ac:dyDescent="0.3">
      <c r="A33" s="2" t="s">
        <v>33</v>
      </c>
      <c r="B33" s="2" t="s">
        <v>34</v>
      </c>
      <c r="C33" s="2" t="s">
        <v>41</v>
      </c>
      <c r="D33" s="2" t="s">
        <v>33</v>
      </c>
      <c r="E33" s="16" t="str">
        <f t="shared" si="0"/>
        <v>COLÓN, DONOSO, Panama</v>
      </c>
    </row>
    <row r="34" spans="1:5" x14ac:dyDescent="0.3">
      <c r="A34" s="2" t="s">
        <v>42</v>
      </c>
      <c r="B34" s="2" t="s">
        <v>43</v>
      </c>
      <c r="C34" s="2" t="s">
        <v>44</v>
      </c>
      <c r="D34" s="2" t="s">
        <v>42</v>
      </c>
      <c r="E34" s="16" t="str">
        <f t="shared" si="0"/>
        <v>COCLÉ, AGUADULCE, Panama</v>
      </c>
    </row>
    <row r="35" spans="1:5" x14ac:dyDescent="0.3">
      <c r="A35" s="2" t="s">
        <v>45</v>
      </c>
      <c r="B35" s="2" t="s">
        <v>46</v>
      </c>
      <c r="C35" s="2" t="s">
        <v>47</v>
      </c>
      <c r="D35" s="2" t="s">
        <v>45</v>
      </c>
      <c r="E35" s="16" t="str">
        <f>B35&amp;", "&amp;C35&amp;", Panama"</f>
        <v>PANAMÁ, SAN MIGUELITO, Panama</v>
      </c>
    </row>
    <row r="36" spans="1:5" x14ac:dyDescent="0.3">
      <c r="A36" s="2" t="s">
        <v>45</v>
      </c>
      <c r="B36" s="2" t="s">
        <v>46</v>
      </c>
      <c r="C36" s="2" t="s">
        <v>48</v>
      </c>
      <c r="D36" s="2" t="s">
        <v>45</v>
      </c>
      <c r="E36" s="16" t="str">
        <f t="shared" si="0"/>
        <v>PANAMÁ, LA CHORRERA, Panama</v>
      </c>
    </row>
    <row r="37" spans="1:5" x14ac:dyDescent="0.3">
      <c r="A37" s="2" t="s">
        <v>45</v>
      </c>
      <c r="B37" s="2" t="s">
        <v>46</v>
      </c>
      <c r="C37" s="2" t="s">
        <v>49</v>
      </c>
      <c r="D37" s="2" t="s">
        <v>45</v>
      </c>
      <c r="E37" s="16" t="str">
        <f t="shared" si="0"/>
        <v>PANAMÁ, CHEPO, Panama</v>
      </c>
    </row>
    <row r="38" spans="1:5" x14ac:dyDescent="0.3">
      <c r="A38" s="2" t="s">
        <v>42</v>
      </c>
      <c r="B38" s="2" t="s">
        <v>50</v>
      </c>
      <c r="C38" s="2" t="s">
        <v>51</v>
      </c>
      <c r="D38" s="2" t="s">
        <v>42</v>
      </c>
      <c r="E38" s="16" t="str">
        <f t="shared" si="0"/>
        <v>LOS SANTOS, LAS TABLAS, Panama</v>
      </c>
    </row>
    <row r="39" spans="1:5" x14ac:dyDescent="0.3">
      <c r="A39" s="2" t="s">
        <v>42</v>
      </c>
      <c r="B39" s="2" t="s">
        <v>50</v>
      </c>
      <c r="C39" s="2" t="s">
        <v>50</v>
      </c>
      <c r="D39" s="2" t="s">
        <v>42</v>
      </c>
      <c r="E39" s="16" t="str">
        <f t="shared" si="0"/>
        <v>LOS SANTOS, LOS SANTOS, Panama</v>
      </c>
    </row>
    <row r="40" spans="1:5" x14ac:dyDescent="0.3">
      <c r="A40" s="2" t="s">
        <v>45</v>
      </c>
      <c r="B40" s="2" t="s">
        <v>46</v>
      </c>
      <c r="C40" s="2" t="s">
        <v>52</v>
      </c>
      <c r="D40" s="2" t="s">
        <v>45</v>
      </c>
      <c r="E40" s="16" t="str">
        <f t="shared" si="0"/>
        <v>PANAMÁ, ARRAIJAN, Panama</v>
      </c>
    </row>
    <row r="41" spans="1:5" x14ac:dyDescent="0.3">
      <c r="A41" s="2" t="s">
        <v>45</v>
      </c>
      <c r="B41" s="2" t="s">
        <v>46</v>
      </c>
      <c r="C41" s="2" t="s">
        <v>53</v>
      </c>
      <c r="D41" s="2" t="s">
        <v>45</v>
      </c>
      <c r="E41" s="16" t="str">
        <f t="shared" si="0"/>
        <v>PANAMÁ, CAPIRA, Panama</v>
      </c>
    </row>
    <row r="42" spans="1:5" x14ac:dyDescent="0.3">
      <c r="A42" s="2" t="s">
        <v>45</v>
      </c>
      <c r="B42" s="2" t="s">
        <v>46</v>
      </c>
      <c r="C42" s="2" t="s">
        <v>54</v>
      </c>
      <c r="D42" s="2" t="s">
        <v>45</v>
      </c>
      <c r="E42" s="16" t="str">
        <f t="shared" si="0"/>
        <v>PANAMÁ, CHAME, Panama</v>
      </c>
    </row>
    <row r="43" spans="1:5" x14ac:dyDescent="0.3">
      <c r="A43" s="2" t="s">
        <v>45</v>
      </c>
      <c r="B43" s="2" t="s">
        <v>46</v>
      </c>
      <c r="C43" s="2" t="s">
        <v>55</v>
      </c>
      <c r="D43" s="2" t="s">
        <v>45</v>
      </c>
      <c r="E43" s="16" t="str">
        <f t="shared" si="0"/>
        <v>PANAMÁ, SAN CARLOS, Panama</v>
      </c>
    </row>
    <row r="44" spans="1:5" x14ac:dyDescent="0.3">
      <c r="A44" s="2" t="s">
        <v>42</v>
      </c>
      <c r="B44" s="2" t="s">
        <v>43</v>
      </c>
      <c r="C44" s="2" t="s">
        <v>56</v>
      </c>
      <c r="D44" s="2" t="s">
        <v>42</v>
      </c>
      <c r="E44" s="16" t="str">
        <f t="shared" si="0"/>
        <v>COCLÉ, ANTON, Panama</v>
      </c>
    </row>
    <row r="45" spans="1:5" x14ac:dyDescent="0.3">
      <c r="A45" s="2" t="s">
        <v>42</v>
      </c>
      <c r="B45" s="2" t="s">
        <v>50</v>
      </c>
      <c r="C45" s="2" t="s">
        <v>57</v>
      </c>
      <c r="D45" s="2" t="s">
        <v>42</v>
      </c>
      <c r="E45" s="16" t="str">
        <f t="shared" si="0"/>
        <v>LOS SANTOS, GUARARE, Panama</v>
      </c>
    </row>
    <row r="46" spans="1:5" x14ac:dyDescent="0.3">
      <c r="A46" s="2" t="s">
        <v>42</v>
      </c>
      <c r="B46" s="2" t="s">
        <v>43</v>
      </c>
      <c r="C46" s="2" t="s">
        <v>58</v>
      </c>
      <c r="D46" s="2" t="s">
        <v>42</v>
      </c>
      <c r="E46" s="16" t="str">
        <f t="shared" si="0"/>
        <v>COCLÉ, LA PINTADA, Panama</v>
      </c>
    </row>
    <row r="47" spans="1:5" x14ac:dyDescent="0.3">
      <c r="A47" s="2" t="s">
        <v>42</v>
      </c>
      <c r="B47" s="2" t="s">
        <v>43</v>
      </c>
      <c r="C47" s="2" t="s">
        <v>59</v>
      </c>
      <c r="D47" s="2" t="s">
        <v>42</v>
      </c>
      <c r="E47" s="16" t="str">
        <f t="shared" si="0"/>
        <v>COCLÉ, NATA, Panama</v>
      </c>
    </row>
    <row r="48" spans="1:5" x14ac:dyDescent="0.3">
      <c r="A48" s="2" t="s">
        <v>42</v>
      </c>
      <c r="B48" s="2" t="s">
        <v>43</v>
      </c>
      <c r="C48" s="2" t="s">
        <v>60</v>
      </c>
      <c r="D48" s="2" t="s">
        <v>42</v>
      </c>
      <c r="E48" s="16" t="str">
        <f t="shared" si="0"/>
        <v>COCLÉ, PENONOME, Panama</v>
      </c>
    </row>
    <row r="49" spans="1:5" x14ac:dyDescent="0.3">
      <c r="A49" s="2" t="s">
        <v>42</v>
      </c>
      <c r="B49" s="2" t="s">
        <v>50</v>
      </c>
      <c r="C49" s="2" t="s">
        <v>61</v>
      </c>
      <c r="D49" s="2" t="s">
        <v>42</v>
      </c>
      <c r="E49" s="16" t="str">
        <f t="shared" si="0"/>
        <v>LOS SANTOS, TONOSI, Panama</v>
      </c>
    </row>
    <row r="50" spans="1:5" x14ac:dyDescent="0.3">
      <c r="A50" s="2" t="s">
        <v>45</v>
      </c>
      <c r="B50" s="2" t="s">
        <v>46</v>
      </c>
      <c r="C50" s="2" t="s">
        <v>62</v>
      </c>
      <c r="D50" s="2" t="s">
        <v>45</v>
      </c>
      <c r="E50" s="16" t="str">
        <f t="shared" si="0"/>
        <v>PANAMÁ, PANAMA, Panama</v>
      </c>
    </row>
    <row r="52" spans="1:5" x14ac:dyDescent="0.3">
      <c r="E52" t="s">
        <v>63</v>
      </c>
    </row>
  </sheetData>
  <autoFilter ref="A1:D50" xr:uid="{49EBFCF2-0B61-41A1-8835-2B491991647F}">
    <sortState xmlns:xlrd2="http://schemas.microsoft.com/office/spreadsheetml/2017/richdata2" ref="A2:D50">
      <sortCondition ref="C1:C50"/>
    </sortState>
  </autoFilter>
  <hyperlinks>
    <hyperlink ref="C4" r:id="rId1" display="http://estadisticas.contraloria.gob.pa/Resultados2010/cuadros/Distrito.aspx?ID=0601" xr:uid="{70B39C39-1615-47D4-9269-CD2EF310A22B}"/>
    <hyperlink ref="C20" r:id="rId2" display="http://estadisticas.contraloria.gob.pa/Resultados2010/cuadros/Distrito.aspx?ID=0408" xr:uid="{82DB507D-46CA-4556-A31F-1D8C3472BF49}"/>
    <hyperlink ref="C19" r:id="rId3" display="http://estadisticas.contraloria.gob.pa/Resultados2010/cuadros/Distrito.aspx?ID=0407" xr:uid="{F863ABB6-F233-4B66-A1CD-4A4BDD1ABB52}"/>
    <hyperlink ref="C15" r:id="rId4" display="http://estadisticas.contraloria.gob.pa/Resultados2010/cuadros/Distrito.aspx?ID=0406" xr:uid="{F524193C-5517-4816-90C3-9F01CB2D2CB2}"/>
    <hyperlink ref="C14" r:id="rId5" display="http://estadisticas.contraloria.gob.pa/Resultados2010/cuadros/Distrito.aspx?ID=0405" xr:uid="{C991E524-B813-41A0-9C16-E0B3B7509814}"/>
    <hyperlink ref="C7" r:id="rId6" display="http://estadisticas.contraloria.gob.pa/Resultados2010/cuadros/Distrito.aspx?ID=0404" xr:uid="{3BEF9358-14C1-461E-AD41-FFFB9B3499EC}"/>
    <hyperlink ref="C6" r:id="rId7" display="http://estadisticas.contraloria.gob.pa/Resultados2010/cuadros/Distrito.aspx?ID=0403" xr:uid="{C8740E87-7D37-4F19-A2CB-CADCFED09C1F}"/>
    <hyperlink ref="C3" r:id="rId8" display="http://estadisticas.contraloria.gob.pa/Resultados2010/cuadros/Distrito.aspx?ID=0402" xr:uid="{EA8CB2D8-A1B3-4F29-A044-4315D59B4221}"/>
    <hyperlink ref="C36" r:id="rId9" display="http://estadisticas.contraloria.gob.pa/Resultados2010/cuadros/Distrito.aspx?ID=0807" xr:uid="{AA37927C-831E-4768-866B-2DD97878CF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109A-1750-4B64-A9DD-AB96CC2A5A02}">
  <sheetPr filterMode="1"/>
  <dimension ref="A1:E326"/>
  <sheetViews>
    <sheetView workbookViewId="0">
      <selection activeCell="E5" sqref="E5"/>
    </sheetView>
  </sheetViews>
  <sheetFormatPr baseColWidth="10" defaultColWidth="11.44140625" defaultRowHeight="14.4" x14ac:dyDescent="0.3"/>
  <cols>
    <col min="1" max="1" width="17.88671875" bestFit="1" customWidth="1"/>
    <col min="2" max="2" width="13.33203125" bestFit="1" customWidth="1"/>
    <col min="3" max="3" width="25.109375" bestFit="1" customWidth="1"/>
    <col min="4" max="4" width="17.88671875" bestFit="1" customWidth="1"/>
    <col min="5" max="5" width="54.44140625" bestFit="1" customWidth="1"/>
  </cols>
  <sheetData>
    <row r="1" spans="1:5" x14ac:dyDescent="0.3">
      <c r="A1" s="11" t="s">
        <v>0</v>
      </c>
      <c r="B1" s="12" t="s">
        <v>64</v>
      </c>
      <c r="C1" s="12" t="s">
        <v>2</v>
      </c>
      <c r="D1" s="11" t="s">
        <v>0</v>
      </c>
      <c r="E1" s="18"/>
    </row>
    <row r="2" spans="1:5" hidden="1" x14ac:dyDescent="0.3">
      <c r="A2" s="5" t="s">
        <v>42</v>
      </c>
      <c r="B2" s="5" t="s">
        <v>65</v>
      </c>
      <c r="C2" s="5" t="s">
        <v>65</v>
      </c>
      <c r="D2" s="5" t="s">
        <v>42</v>
      </c>
    </row>
    <row r="3" spans="1:5" hidden="1" x14ac:dyDescent="0.3">
      <c r="A3" s="5" t="s">
        <v>42</v>
      </c>
      <c r="B3" s="5" t="s">
        <v>65</v>
      </c>
      <c r="C3" s="5" t="s">
        <v>66</v>
      </c>
      <c r="D3" s="5" t="s">
        <v>42</v>
      </c>
    </row>
    <row r="4" spans="1:5" hidden="1" x14ac:dyDescent="0.3">
      <c r="A4" s="5" t="s">
        <v>42</v>
      </c>
      <c r="B4" s="5" t="s">
        <v>65</v>
      </c>
      <c r="C4" s="5" t="s">
        <v>67</v>
      </c>
      <c r="D4" s="5" t="s">
        <v>42</v>
      </c>
    </row>
    <row r="5" spans="1:5" hidden="1" x14ac:dyDescent="0.3">
      <c r="A5" s="5" t="s">
        <v>68</v>
      </c>
      <c r="B5" s="5" t="s">
        <v>69</v>
      </c>
      <c r="C5" s="5" t="s">
        <v>70</v>
      </c>
      <c r="D5" s="5" t="s">
        <v>68</v>
      </c>
      <c r="E5" t="str">
        <f>B5&amp;", "&amp;C5&amp;", Guatemala"</f>
        <v>Sacatepéquez, Santa María de Jesús, Guatemala</v>
      </c>
    </row>
    <row r="6" spans="1:5" hidden="1" x14ac:dyDescent="0.3">
      <c r="A6" s="5" t="s">
        <v>68</v>
      </c>
      <c r="B6" s="5" t="s">
        <v>69</v>
      </c>
      <c r="C6" s="5" t="s">
        <v>71</v>
      </c>
      <c r="D6" s="5" t="s">
        <v>68</v>
      </c>
      <c r="E6" t="str">
        <f t="shared" ref="E6:E9" si="0">B6&amp;", "&amp;C6&amp;", Guatemala"</f>
        <v>Sacatepéquez, San Juan Alotenango, Guatemala</v>
      </c>
    </row>
    <row r="7" spans="1:5" hidden="1" x14ac:dyDescent="0.3">
      <c r="A7" s="5" t="s">
        <v>68</v>
      </c>
      <c r="B7" s="5" t="s">
        <v>69</v>
      </c>
      <c r="C7" s="5" t="s">
        <v>72</v>
      </c>
      <c r="D7" s="5" t="s">
        <v>68</v>
      </c>
      <c r="E7" t="str">
        <f t="shared" si="0"/>
        <v>Sacatepéquez, Santa Catarina Barahona, Guatemala</v>
      </c>
    </row>
    <row r="8" spans="1:5" hidden="1" x14ac:dyDescent="0.3">
      <c r="A8" s="5" t="s">
        <v>68</v>
      </c>
      <c r="B8" s="5" t="s">
        <v>69</v>
      </c>
      <c r="C8" s="5" t="s">
        <v>73</v>
      </c>
      <c r="D8" s="5" t="s">
        <v>68</v>
      </c>
      <c r="E8" t="str">
        <f t="shared" si="0"/>
        <v>Sacatepéquez, Santo Domingo Xenacoj, Guatemala</v>
      </c>
    </row>
    <row r="9" spans="1:5" hidden="1" x14ac:dyDescent="0.3">
      <c r="A9" s="5" t="s">
        <v>68</v>
      </c>
      <c r="B9" s="5" t="s">
        <v>69</v>
      </c>
      <c r="C9" s="5" t="s">
        <v>74</v>
      </c>
      <c r="D9" s="5" t="s">
        <v>68</v>
      </c>
      <c r="E9" t="str">
        <f t="shared" si="0"/>
        <v>Sacatepéquez, Sumpango, Guatemala</v>
      </c>
    </row>
    <row r="10" spans="1:5" hidden="1" x14ac:dyDescent="0.3">
      <c r="A10" s="5" t="s">
        <v>42</v>
      </c>
      <c r="B10" s="5" t="s">
        <v>65</v>
      </c>
      <c r="C10" s="5" t="s">
        <v>75</v>
      </c>
      <c r="D10" s="5" t="s">
        <v>42</v>
      </c>
    </row>
    <row r="11" spans="1:5" hidden="1" x14ac:dyDescent="0.3">
      <c r="A11" s="5" t="s">
        <v>42</v>
      </c>
      <c r="B11" s="5" t="s">
        <v>65</v>
      </c>
      <c r="C11" s="5" t="s">
        <v>76</v>
      </c>
      <c r="D11" s="5" t="s">
        <v>42</v>
      </c>
    </row>
    <row r="12" spans="1:5" hidden="1" x14ac:dyDescent="0.3">
      <c r="A12" s="5" t="s">
        <v>42</v>
      </c>
      <c r="B12" s="5" t="s">
        <v>65</v>
      </c>
      <c r="C12" s="5" t="s">
        <v>77</v>
      </c>
      <c r="D12" s="5" t="s">
        <v>42</v>
      </c>
    </row>
    <row r="13" spans="1:5" hidden="1" x14ac:dyDescent="0.3">
      <c r="A13" s="5" t="s">
        <v>68</v>
      </c>
      <c r="B13" s="5" t="s">
        <v>69</v>
      </c>
      <c r="C13" s="5" t="s">
        <v>78</v>
      </c>
      <c r="D13" s="5" t="s">
        <v>68</v>
      </c>
      <c r="E13" t="str">
        <f t="shared" ref="E13:E15" si="1">B13&amp;", "&amp;C13&amp;", Guatemala"</f>
        <v>Sacatepéquez, Magdalena Milpas Altas, Guatemala</v>
      </c>
    </row>
    <row r="14" spans="1:5" hidden="1" x14ac:dyDescent="0.3">
      <c r="A14" s="5" t="s">
        <v>68</v>
      </c>
      <c r="B14" s="5" t="s">
        <v>69</v>
      </c>
      <c r="C14" s="5" t="s">
        <v>79</v>
      </c>
      <c r="D14" s="5" t="s">
        <v>68</v>
      </c>
      <c r="E14" t="str">
        <f t="shared" si="1"/>
        <v>Sacatepéquez, Santiago Sacatepéquez, Guatemala</v>
      </c>
    </row>
    <row r="15" spans="1:5" hidden="1" x14ac:dyDescent="0.3">
      <c r="A15" s="5" t="s">
        <v>68</v>
      </c>
      <c r="B15" s="5" t="s">
        <v>69</v>
      </c>
      <c r="C15" s="5" t="s">
        <v>80</v>
      </c>
      <c r="D15" s="5" t="s">
        <v>68</v>
      </c>
      <c r="E15" t="str">
        <f t="shared" si="1"/>
        <v>Sacatepéquez, Pastores, Guatemala</v>
      </c>
    </row>
    <row r="16" spans="1:5" hidden="1" x14ac:dyDescent="0.3">
      <c r="A16" s="5" t="s">
        <v>42</v>
      </c>
      <c r="B16" s="5" t="s">
        <v>65</v>
      </c>
      <c r="C16" s="5" t="s">
        <v>81</v>
      </c>
      <c r="D16" s="5" t="s">
        <v>42</v>
      </c>
    </row>
    <row r="17" spans="1:5" hidden="1" x14ac:dyDescent="0.3">
      <c r="A17" s="5" t="s">
        <v>68</v>
      </c>
      <c r="B17" s="5" t="s">
        <v>69</v>
      </c>
      <c r="C17" s="5" t="s">
        <v>82</v>
      </c>
      <c r="D17" s="5" t="s">
        <v>68</v>
      </c>
      <c r="E17" t="str">
        <f>B17&amp;", "&amp;C17&amp;", Guatemala"</f>
        <v>Sacatepéquez, Ciudad Vieja, Guatemala</v>
      </c>
    </row>
    <row r="18" spans="1:5" hidden="1" x14ac:dyDescent="0.3">
      <c r="A18" s="5" t="s">
        <v>42</v>
      </c>
      <c r="B18" s="5" t="s">
        <v>65</v>
      </c>
      <c r="C18" s="5" t="s">
        <v>83</v>
      </c>
      <c r="D18" s="5" t="s">
        <v>42</v>
      </c>
    </row>
    <row r="19" spans="1:5" hidden="1" x14ac:dyDescent="0.3">
      <c r="A19" s="5" t="s">
        <v>68</v>
      </c>
      <c r="B19" s="5" t="s">
        <v>69</v>
      </c>
      <c r="C19" s="5" t="s">
        <v>84</v>
      </c>
      <c r="D19" s="5" t="s">
        <v>68</v>
      </c>
      <c r="E19" t="str">
        <f t="shared" ref="E19:E20" si="2">B19&amp;", "&amp;C19&amp;", Guatemala"</f>
        <v>Sacatepéquez, San Antonio Aguas Calientes, Guatemala</v>
      </c>
    </row>
    <row r="20" spans="1:5" hidden="1" x14ac:dyDescent="0.3">
      <c r="A20" s="5" t="s">
        <v>68</v>
      </c>
      <c r="B20" s="5" t="s">
        <v>69</v>
      </c>
      <c r="C20" s="5" t="s">
        <v>85</v>
      </c>
      <c r="D20" s="5" t="s">
        <v>68</v>
      </c>
      <c r="E20" t="str">
        <f t="shared" si="2"/>
        <v>Sacatepéquez, San Miguel Dueñas, Guatemala</v>
      </c>
    </row>
    <row r="21" spans="1:5" hidden="1" x14ac:dyDescent="0.3">
      <c r="A21" s="5" t="s">
        <v>42</v>
      </c>
      <c r="B21" s="5" t="s">
        <v>65</v>
      </c>
      <c r="C21" s="5" t="s">
        <v>86</v>
      </c>
      <c r="D21" s="5" t="s">
        <v>42</v>
      </c>
    </row>
    <row r="22" spans="1:5" hidden="1" x14ac:dyDescent="0.3">
      <c r="A22" s="5" t="s">
        <v>42</v>
      </c>
      <c r="B22" s="5" t="s">
        <v>65</v>
      </c>
      <c r="C22" s="5" t="s">
        <v>87</v>
      </c>
      <c r="D22" s="5" t="s">
        <v>42</v>
      </c>
    </row>
    <row r="23" spans="1:5" hidden="1" x14ac:dyDescent="0.3">
      <c r="A23" s="5" t="s">
        <v>68</v>
      </c>
      <c r="B23" s="5" t="s">
        <v>69</v>
      </c>
      <c r="C23" s="5" t="s">
        <v>88</v>
      </c>
      <c r="D23" s="5" t="s">
        <v>68</v>
      </c>
      <c r="E23" t="str">
        <f t="shared" ref="E23:E25" si="3">B23&amp;", "&amp;C23&amp;", Guatemala"</f>
        <v>Sacatepéquez, Santa Lucía Milpas Altas, Guatemala</v>
      </c>
    </row>
    <row r="24" spans="1:5" hidden="1" x14ac:dyDescent="0.3">
      <c r="A24" s="5" t="s">
        <v>68</v>
      </c>
      <c r="B24" s="5" t="s">
        <v>69</v>
      </c>
      <c r="C24" s="5" t="s">
        <v>89</v>
      </c>
      <c r="D24" s="5" t="s">
        <v>68</v>
      </c>
      <c r="E24" t="str">
        <f t="shared" si="3"/>
        <v>Sacatepéquez, San Bartolomé Milpas Altas, Guatemala</v>
      </c>
    </row>
    <row r="25" spans="1:5" hidden="1" x14ac:dyDescent="0.3">
      <c r="A25" s="5" t="s">
        <v>68</v>
      </c>
      <c r="B25" s="5" t="s">
        <v>69</v>
      </c>
      <c r="C25" s="5" t="s">
        <v>90</v>
      </c>
      <c r="D25" s="5" t="s">
        <v>68</v>
      </c>
      <c r="E25" t="str">
        <f t="shared" si="3"/>
        <v>Sacatepéquez, Antigua Guatemala, Guatemala</v>
      </c>
    </row>
    <row r="26" spans="1:5" hidden="1" x14ac:dyDescent="0.3">
      <c r="A26" s="5" t="s">
        <v>45</v>
      </c>
      <c r="B26" s="5" t="s">
        <v>65</v>
      </c>
      <c r="C26" s="5" t="s">
        <v>91</v>
      </c>
      <c r="D26" s="5" t="s">
        <v>45</v>
      </c>
    </row>
    <row r="27" spans="1:5" hidden="1" x14ac:dyDescent="0.3">
      <c r="A27" s="5" t="s">
        <v>42</v>
      </c>
      <c r="B27" s="5" t="s">
        <v>65</v>
      </c>
      <c r="C27" s="5" t="s">
        <v>92</v>
      </c>
      <c r="D27" s="5" t="s">
        <v>42</v>
      </c>
    </row>
    <row r="28" spans="1:5" hidden="1" x14ac:dyDescent="0.3">
      <c r="A28" s="5" t="s">
        <v>42</v>
      </c>
      <c r="B28" s="5" t="s">
        <v>65</v>
      </c>
      <c r="C28" s="5" t="s">
        <v>93</v>
      </c>
      <c r="D28" s="5" t="s">
        <v>42</v>
      </c>
    </row>
    <row r="29" spans="1:5" hidden="1" x14ac:dyDescent="0.3">
      <c r="A29" s="5" t="s">
        <v>68</v>
      </c>
      <c r="B29" s="5" t="s">
        <v>69</v>
      </c>
      <c r="C29" s="5" t="s">
        <v>94</v>
      </c>
      <c r="D29" s="5" t="s">
        <v>68</v>
      </c>
      <c r="E29" t="str">
        <f>B29&amp;", "&amp;C29&amp;", Guatemala"</f>
        <v>Sacatepéquez, Jocotenango, Guatemala</v>
      </c>
    </row>
    <row r="30" spans="1:5" hidden="1" x14ac:dyDescent="0.3">
      <c r="A30" s="5" t="s">
        <v>42</v>
      </c>
      <c r="B30" s="5" t="s">
        <v>65</v>
      </c>
      <c r="C30" s="5" t="s">
        <v>95</v>
      </c>
      <c r="D30" s="5" t="s">
        <v>42</v>
      </c>
    </row>
    <row r="31" spans="1:5" hidden="1" x14ac:dyDescent="0.3">
      <c r="A31" s="5" t="s">
        <v>42</v>
      </c>
      <c r="B31" s="5" t="s">
        <v>65</v>
      </c>
      <c r="C31" s="5" t="s">
        <v>96</v>
      </c>
      <c r="D31" s="5" t="s">
        <v>42</v>
      </c>
    </row>
    <row r="32" spans="1:5" hidden="1" x14ac:dyDescent="0.3">
      <c r="A32" s="5" t="s">
        <v>42</v>
      </c>
      <c r="B32" s="5" t="s">
        <v>65</v>
      </c>
      <c r="C32" s="5" t="s">
        <v>97</v>
      </c>
      <c r="D32" s="5" t="s">
        <v>42</v>
      </c>
    </row>
    <row r="33" spans="1:5" hidden="1" x14ac:dyDescent="0.3">
      <c r="A33" s="5" t="s">
        <v>68</v>
      </c>
      <c r="B33" s="5" t="s">
        <v>69</v>
      </c>
      <c r="C33" s="5" t="s">
        <v>98</v>
      </c>
      <c r="D33" s="5" t="s">
        <v>68</v>
      </c>
      <c r="E33" t="str">
        <f>B33&amp;", "&amp;C33&amp;", Guatemala"</f>
        <v>Sacatepéquez, San Lucas Sacatepéquez, Guatemala</v>
      </c>
    </row>
    <row r="34" spans="1:5" hidden="1" x14ac:dyDescent="0.3">
      <c r="A34" s="5" t="s">
        <v>99</v>
      </c>
      <c r="B34" s="5" t="s">
        <v>100</v>
      </c>
      <c r="C34" s="5" t="s">
        <v>101</v>
      </c>
      <c r="D34" s="5" t="s">
        <v>99</v>
      </c>
      <c r="E34" t="str">
        <f>B34&amp;", "&amp;C34&amp;", Guatemala"</f>
        <v>Alta Verapaz, Panzós, Guatemala</v>
      </c>
    </row>
    <row r="35" spans="1:5" hidden="1" x14ac:dyDescent="0.3">
      <c r="A35" s="5" t="s">
        <v>99</v>
      </c>
      <c r="B35" s="5" t="s">
        <v>100</v>
      </c>
      <c r="C35" s="5" t="s">
        <v>102</v>
      </c>
      <c r="D35" s="5" t="s">
        <v>99</v>
      </c>
      <c r="E35" t="str">
        <f t="shared" ref="E35:E98" si="4">B35&amp;", "&amp;C35&amp;", Guatemala"</f>
        <v>Alta Verapaz, San Agustín Lanquín, Guatemala</v>
      </c>
    </row>
    <row r="36" spans="1:5" hidden="1" x14ac:dyDescent="0.3">
      <c r="A36" s="5" t="s">
        <v>99</v>
      </c>
      <c r="B36" s="5" t="s">
        <v>100</v>
      </c>
      <c r="C36" s="5" t="s">
        <v>103</v>
      </c>
      <c r="D36" s="5" t="s">
        <v>99</v>
      </c>
      <c r="E36" t="str">
        <f t="shared" si="4"/>
        <v>Alta Verapaz, Santa Catalina La Tinta, Guatemala</v>
      </c>
    </row>
    <row r="37" spans="1:5" hidden="1" x14ac:dyDescent="0.3">
      <c r="A37" s="5" t="s">
        <v>99</v>
      </c>
      <c r="B37" s="5" t="s">
        <v>100</v>
      </c>
      <c r="C37" s="5" t="s">
        <v>104</v>
      </c>
      <c r="D37" s="5" t="s">
        <v>99</v>
      </c>
      <c r="E37" t="str">
        <f t="shared" si="4"/>
        <v>Alta Verapaz, Senahú, Guatemala</v>
      </c>
    </row>
    <row r="38" spans="1:5" hidden="1" x14ac:dyDescent="0.3">
      <c r="A38" s="5" t="s">
        <v>99</v>
      </c>
      <c r="B38" s="5" t="s">
        <v>100</v>
      </c>
      <c r="C38" s="5" t="s">
        <v>105</v>
      </c>
      <c r="D38" s="5" t="s">
        <v>99</v>
      </c>
      <c r="E38" t="str">
        <f t="shared" si="4"/>
        <v>Alta Verapaz, Chisec, Guatemala</v>
      </c>
    </row>
    <row r="39" spans="1:5" hidden="1" x14ac:dyDescent="0.3">
      <c r="A39" s="5" t="s">
        <v>99</v>
      </c>
      <c r="B39" s="5" t="s">
        <v>100</v>
      </c>
      <c r="C39" s="5" t="s">
        <v>106</v>
      </c>
      <c r="D39" s="5" t="s">
        <v>99</v>
      </c>
      <c r="E39" t="str">
        <f t="shared" si="4"/>
        <v>Alta Verapaz, Fray Bartolomé de las Casas, Guatemala</v>
      </c>
    </row>
    <row r="40" spans="1:5" hidden="1" x14ac:dyDescent="0.3">
      <c r="A40" s="5" t="s">
        <v>99</v>
      </c>
      <c r="B40" s="5" t="s">
        <v>100</v>
      </c>
      <c r="C40" s="5" t="s">
        <v>107</v>
      </c>
      <c r="D40" s="5" t="s">
        <v>99</v>
      </c>
      <c r="E40" t="str">
        <f t="shared" si="4"/>
        <v>Alta Verapaz, Raxruhá, Guatemala</v>
      </c>
    </row>
    <row r="41" spans="1:5" hidden="1" x14ac:dyDescent="0.3">
      <c r="A41" s="5" t="s">
        <v>99</v>
      </c>
      <c r="B41" s="5" t="s">
        <v>100</v>
      </c>
      <c r="C41" s="5" t="s">
        <v>108</v>
      </c>
      <c r="D41" s="5" t="s">
        <v>99</v>
      </c>
      <c r="E41" t="str">
        <f t="shared" si="4"/>
        <v>Alta Verapaz, Cobán, Guatemala</v>
      </c>
    </row>
    <row r="42" spans="1:5" hidden="1" x14ac:dyDescent="0.3">
      <c r="A42" s="5" t="s">
        <v>99</v>
      </c>
      <c r="B42" s="5" t="s">
        <v>100</v>
      </c>
      <c r="C42" s="5" t="s">
        <v>109</v>
      </c>
      <c r="D42" s="5" t="s">
        <v>99</v>
      </c>
      <c r="E42" t="str">
        <f t="shared" si="4"/>
        <v>Alta Verapaz, San Miguel Tucurú, Guatemala</v>
      </c>
    </row>
    <row r="43" spans="1:5" hidden="1" x14ac:dyDescent="0.3">
      <c r="A43" s="5" t="s">
        <v>99</v>
      </c>
      <c r="B43" s="5" t="s">
        <v>100</v>
      </c>
      <c r="C43" s="5" t="s">
        <v>110</v>
      </c>
      <c r="D43" s="5" t="s">
        <v>99</v>
      </c>
      <c r="E43" t="str">
        <f t="shared" si="4"/>
        <v>Alta Verapaz, Chahal, Guatemala</v>
      </c>
    </row>
    <row r="44" spans="1:5" hidden="1" x14ac:dyDescent="0.3">
      <c r="A44" s="5" t="s">
        <v>99</v>
      </c>
      <c r="B44" s="5" t="s">
        <v>100</v>
      </c>
      <c r="C44" s="5" t="s">
        <v>111</v>
      </c>
      <c r="D44" s="5" t="s">
        <v>99</v>
      </c>
      <c r="E44" t="str">
        <f t="shared" si="4"/>
        <v>Alta Verapaz, Tamahú, Guatemala</v>
      </c>
    </row>
    <row r="45" spans="1:5" hidden="1" x14ac:dyDescent="0.3">
      <c r="A45" s="5" t="s">
        <v>99</v>
      </c>
      <c r="B45" s="5" t="s">
        <v>100</v>
      </c>
      <c r="C45" s="5" t="s">
        <v>112</v>
      </c>
      <c r="D45" s="5" t="s">
        <v>99</v>
      </c>
      <c r="E45" t="str">
        <f t="shared" si="4"/>
        <v>Alta Verapaz, Santa María Cahabón, Guatemala</v>
      </c>
    </row>
    <row r="46" spans="1:5" hidden="1" x14ac:dyDescent="0.3">
      <c r="A46" s="5" t="s">
        <v>99</v>
      </c>
      <c r="B46" s="5" t="s">
        <v>100</v>
      </c>
      <c r="C46" s="5" t="s">
        <v>113</v>
      </c>
      <c r="D46" s="5" t="s">
        <v>99</v>
      </c>
      <c r="E46" t="str">
        <f t="shared" si="4"/>
        <v>Alta Verapaz, San Cristóbal Verapaz, Guatemala</v>
      </c>
    </row>
    <row r="47" spans="1:5" hidden="1" x14ac:dyDescent="0.3">
      <c r="A47" s="5" t="s">
        <v>99</v>
      </c>
      <c r="B47" s="5" t="s">
        <v>100</v>
      </c>
      <c r="C47" s="5" t="s">
        <v>114</v>
      </c>
      <c r="D47" s="5" t="s">
        <v>99</v>
      </c>
      <c r="E47" t="str">
        <f t="shared" si="4"/>
        <v>Alta Verapaz, Tactic, Guatemala</v>
      </c>
    </row>
    <row r="48" spans="1:5" hidden="1" x14ac:dyDescent="0.3">
      <c r="A48" s="5" t="s">
        <v>99</v>
      </c>
      <c r="B48" s="5" t="s">
        <v>100</v>
      </c>
      <c r="C48" s="5" t="s">
        <v>115</v>
      </c>
      <c r="D48" s="5" t="s">
        <v>99</v>
      </c>
      <c r="E48" t="str">
        <f t="shared" si="4"/>
        <v>Alta Verapaz, Santa Cruz Verapaz, Guatemala</v>
      </c>
    </row>
    <row r="49" spans="1:5" hidden="1" x14ac:dyDescent="0.3">
      <c r="A49" s="5" t="s">
        <v>99</v>
      </c>
      <c r="B49" s="5" t="s">
        <v>100</v>
      </c>
      <c r="C49" s="5" t="s">
        <v>116</v>
      </c>
      <c r="D49" s="5" t="s">
        <v>99</v>
      </c>
      <c r="E49" t="str">
        <f t="shared" si="4"/>
        <v>Alta Verapaz, San Pedro Carchá, Guatemala</v>
      </c>
    </row>
    <row r="50" spans="1:5" hidden="1" x14ac:dyDescent="0.3">
      <c r="A50" s="5" t="s">
        <v>99</v>
      </c>
      <c r="B50" s="5" t="s">
        <v>100</v>
      </c>
      <c r="C50" s="5" t="s">
        <v>117</v>
      </c>
      <c r="D50" s="5" t="s">
        <v>99</v>
      </c>
      <c r="E50" t="str">
        <f t="shared" si="4"/>
        <v>Alta Verapaz, San Juan Chamelco, Guatemala</v>
      </c>
    </row>
    <row r="51" spans="1:5" hidden="1" x14ac:dyDescent="0.3">
      <c r="A51" s="5" t="s">
        <v>99</v>
      </c>
      <c r="B51" s="5" t="s">
        <v>118</v>
      </c>
      <c r="C51" s="5" t="s">
        <v>119</v>
      </c>
      <c r="D51" s="5" t="s">
        <v>99</v>
      </c>
      <c r="E51" t="str">
        <f t="shared" si="4"/>
        <v>Baja Verapaz, Salamá, Guatemala</v>
      </c>
    </row>
    <row r="52" spans="1:5" hidden="1" x14ac:dyDescent="0.3">
      <c r="A52" s="5" t="s">
        <v>99</v>
      </c>
      <c r="B52" s="5" t="s">
        <v>118</v>
      </c>
      <c r="C52" s="5" t="s">
        <v>120</v>
      </c>
      <c r="D52" s="5" t="s">
        <v>99</v>
      </c>
      <c r="E52" t="str">
        <f t="shared" si="4"/>
        <v>Baja Verapaz, San Jerónimo, Guatemala</v>
      </c>
    </row>
    <row r="53" spans="1:5" hidden="1" x14ac:dyDescent="0.3">
      <c r="A53" s="5" t="s">
        <v>99</v>
      </c>
      <c r="B53" s="5" t="s">
        <v>118</v>
      </c>
      <c r="C53" s="5" t="s">
        <v>121</v>
      </c>
      <c r="D53" s="5" t="s">
        <v>99</v>
      </c>
      <c r="E53" t="str">
        <f t="shared" si="4"/>
        <v>Baja Verapaz, Purulhá, Guatemala</v>
      </c>
    </row>
    <row r="54" spans="1:5" hidden="1" x14ac:dyDescent="0.3">
      <c r="A54" s="5" t="s">
        <v>99</v>
      </c>
      <c r="B54" s="5" t="s">
        <v>118</v>
      </c>
      <c r="C54" s="5" t="s">
        <v>122</v>
      </c>
      <c r="D54" s="5" t="s">
        <v>99</v>
      </c>
      <c r="E54" t="str">
        <f t="shared" si="4"/>
        <v>Baja Verapaz, San Miguel Chicaj, Guatemala</v>
      </c>
    </row>
    <row r="55" spans="1:5" hidden="1" x14ac:dyDescent="0.3">
      <c r="A55" s="5" t="s">
        <v>99</v>
      </c>
      <c r="B55" s="5" t="s">
        <v>118</v>
      </c>
      <c r="C55" s="5" t="s">
        <v>123</v>
      </c>
      <c r="D55" s="5" t="s">
        <v>99</v>
      </c>
      <c r="E55" t="str">
        <f t="shared" si="4"/>
        <v>Baja Verapaz, Granados, Guatemala</v>
      </c>
    </row>
    <row r="56" spans="1:5" hidden="1" x14ac:dyDescent="0.3">
      <c r="A56" s="5" t="s">
        <v>99</v>
      </c>
      <c r="B56" s="5" t="s">
        <v>118</v>
      </c>
      <c r="C56" s="5" t="s">
        <v>124</v>
      </c>
      <c r="D56" s="5" t="s">
        <v>99</v>
      </c>
      <c r="E56" t="str">
        <f t="shared" si="4"/>
        <v>Baja Verapaz, Cubulco, Guatemala</v>
      </c>
    </row>
    <row r="57" spans="1:5" hidden="1" x14ac:dyDescent="0.3">
      <c r="A57" s="5" t="s">
        <v>99</v>
      </c>
      <c r="B57" s="5" t="s">
        <v>118</v>
      </c>
      <c r="C57" s="5" t="s">
        <v>125</v>
      </c>
      <c r="D57" s="5" t="s">
        <v>99</v>
      </c>
      <c r="E57" t="str">
        <f t="shared" si="4"/>
        <v>Baja Verapaz, Rabinal, Guatemala</v>
      </c>
    </row>
    <row r="58" spans="1:5" hidden="1" x14ac:dyDescent="0.3">
      <c r="A58" s="5" t="s">
        <v>99</v>
      </c>
      <c r="B58" s="5" t="s">
        <v>118</v>
      </c>
      <c r="C58" s="5" t="s">
        <v>126</v>
      </c>
      <c r="D58" s="5" t="s">
        <v>99</v>
      </c>
      <c r="E58" t="str">
        <f t="shared" si="4"/>
        <v>Baja Verapaz, Santa Cruz El Chol, Guatemala</v>
      </c>
    </row>
    <row r="59" spans="1:5" hidden="1" x14ac:dyDescent="0.3">
      <c r="A59" s="5" t="s">
        <v>99</v>
      </c>
      <c r="B59" s="5" t="s">
        <v>127</v>
      </c>
      <c r="C59" s="5" t="s">
        <v>128</v>
      </c>
      <c r="D59" s="5" t="s">
        <v>99</v>
      </c>
      <c r="E59" t="str">
        <f t="shared" si="4"/>
        <v>Chiquimula, San José la Arada, Guatemala</v>
      </c>
    </row>
    <row r="60" spans="1:5" hidden="1" x14ac:dyDescent="0.3">
      <c r="A60" s="5" t="s">
        <v>99</v>
      </c>
      <c r="B60" s="5" t="s">
        <v>127</v>
      </c>
      <c r="C60" s="5" t="s">
        <v>129</v>
      </c>
      <c r="D60" s="5" t="s">
        <v>99</v>
      </c>
      <c r="E60" t="str">
        <f t="shared" si="4"/>
        <v>Chiquimula, San Jacinto, Guatemala</v>
      </c>
    </row>
    <row r="61" spans="1:5" hidden="1" x14ac:dyDescent="0.3">
      <c r="A61" s="5" t="s">
        <v>99</v>
      </c>
      <c r="B61" s="5" t="s">
        <v>127</v>
      </c>
      <c r="C61" s="5" t="s">
        <v>130</v>
      </c>
      <c r="D61" s="5" t="s">
        <v>99</v>
      </c>
      <c r="E61" t="str">
        <f t="shared" si="4"/>
        <v>Chiquimula, Camotán, Guatemala</v>
      </c>
    </row>
    <row r="62" spans="1:5" hidden="1" x14ac:dyDescent="0.3">
      <c r="A62" s="5" t="s">
        <v>99</v>
      </c>
      <c r="B62" s="5" t="s">
        <v>127</v>
      </c>
      <c r="C62" s="5" t="s">
        <v>127</v>
      </c>
      <c r="D62" s="5" t="s">
        <v>99</v>
      </c>
      <c r="E62" t="str">
        <f t="shared" si="4"/>
        <v>Chiquimula, Chiquimula, Guatemala</v>
      </c>
    </row>
    <row r="63" spans="1:5" hidden="1" x14ac:dyDescent="0.3">
      <c r="A63" s="5" t="s">
        <v>99</v>
      </c>
      <c r="B63" s="5" t="s">
        <v>127</v>
      </c>
      <c r="C63" s="5" t="s">
        <v>131</v>
      </c>
      <c r="D63" s="5" t="s">
        <v>99</v>
      </c>
      <c r="E63" t="str">
        <f t="shared" si="4"/>
        <v>Chiquimula, Olopa, Guatemala</v>
      </c>
    </row>
    <row r="64" spans="1:5" hidden="1" x14ac:dyDescent="0.3">
      <c r="A64" s="5" t="s">
        <v>99</v>
      </c>
      <c r="B64" s="5" t="s">
        <v>127</v>
      </c>
      <c r="C64" s="5" t="s">
        <v>132</v>
      </c>
      <c r="D64" s="5" t="s">
        <v>99</v>
      </c>
      <c r="E64" t="str">
        <f t="shared" si="4"/>
        <v>Chiquimula, Quezaltepeque, Guatemala</v>
      </c>
    </row>
    <row r="65" spans="1:5" hidden="1" x14ac:dyDescent="0.3">
      <c r="A65" s="5" t="s">
        <v>99</v>
      </c>
      <c r="B65" s="5" t="s">
        <v>127</v>
      </c>
      <c r="C65" s="5" t="s">
        <v>133</v>
      </c>
      <c r="D65" s="5" t="s">
        <v>99</v>
      </c>
      <c r="E65" t="str">
        <f t="shared" si="4"/>
        <v>Chiquimula, Esquipulas, Guatemala</v>
      </c>
    </row>
    <row r="66" spans="1:5" hidden="1" x14ac:dyDescent="0.3">
      <c r="A66" s="5" t="s">
        <v>99</v>
      </c>
      <c r="B66" s="5" t="s">
        <v>127</v>
      </c>
      <c r="C66" s="5" t="s">
        <v>134</v>
      </c>
      <c r="D66" s="5" t="s">
        <v>99</v>
      </c>
      <c r="E66" t="str">
        <f t="shared" si="4"/>
        <v>Chiquimula, Concepción las Minas, Guatemala</v>
      </c>
    </row>
    <row r="67" spans="1:5" hidden="1" x14ac:dyDescent="0.3">
      <c r="A67" s="5" t="s">
        <v>99</v>
      </c>
      <c r="B67" s="5" t="s">
        <v>127</v>
      </c>
      <c r="C67" s="5" t="s">
        <v>135</v>
      </c>
      <c r="D67" s="5" t="s">
        <v>99</v>
      </c>
      <c r="E67" t="str">
        <f t="shared" si="4"/>
        <v>Chiquimula, Jocotán, Guatemala</v>
      </c>
    </row>
    <row r="68" spans="1:5" hidden="1" x14ac:dyDescent="0.3">
      <c r="A68" s="5" t="s">
        <v>99</v>
      </c>
      <c r="B68" s="5" t="s">
        <v>127</v>
      </c>
      <c r="C68" s="5" t="s">
        <v>136</v>
      </c>
      <c r="D68" s="5" t="s">
        <v>99</v>
      </c>
      <c r="E68" t="str">
        <f t="shared" si="4"/>
        <v>Chiquimula, Ipala, Guatemala</v>
      </c>
    </row>
    <row r="69" spans="1:5" hidden="1" x14ac:dyDescent="0.3">
      <c r="A69" s="5" t="s">
        <v>99</v>
      </c>
      <c r="B69" s="5" t="s">
        <v>127</v>
      </c>
      <c r="C69" s="5" t="s">
        <v>137</v>
      </c>
      <c r="D69" s="5" t="s">
        <v>99</v>
      </c>
      <c r="E69" t="str">
        <f t="shared" si="4"/>
        <v>Chiquimula, San Juan Ermita, Guatemala</v>
      </c>
    </row>
    <row r="70" spans="1:5" hidden="1" x14ac:dyDescent="0.3">
      <c r="A70" s="5" t="s">
        <v>99</v>
      </c>
      <c r="B70" s="5" t="s">
        <v>138</v>
      </c>
      <c r="C70" s="5" t="s">
        <v>139</v>
      </c>
      <c r="D70" s="5" t="s">
        <v>99</v>
      </c>
      <c r="E70" t="str">
        <f t="shared" si="4"/>
        <v>El Progreso, San Antonio la Paz, Guatemala</v>
      </c>
    </row>
    <row r="71" spans="1:5" hidden="1" x14ac:dyDescent="0.3">
      <c r="A71" s="5" t="s">
        <v>99</v>
      </c>
      <c r="B71" s="5" t="s">
        <v>138</v>
      </c>
      <c r="C71" s="5" t="s">
        <v>140</v>
      </c>
      <c r="D71" s="5" t="s">
        <v>99</v>
      </c>
      <c r="E71" t="str">
        <f t="shared" si="4"/>
        <v>El Progreso, San Agustín Acasaguastlán, Guatemala</v>
      </c>
    </row>
    <row r="72" spans="1:5" hidden="1" x14ac:dyDescent="0.3">
      <c r="A72" s="5" t="s">
        <v>99</v>
      </c>
      <c r="B72" s="5" t="s">
        <v>138</v>
      </c>
      <c r="C72" s="5" t="s">
        <v>141</v>
      </c>
      <c r="D72" s="5" t="s">
        <v>99</v>
      </c>
      <c r="E72" t="str">
        <f t="shared" si="4"/>
        <v>El Progreso, Sansare, Guatemala</v>
      </c>
    </row>
    <row r="73" spans="1:5" hidden="1" x14ac:dyDescent="0.3">
      <c r="A73" s="5" t="s">
        <v>99</v>
      </c>
      <c r="B73" s="5" t="s">
        <v>138</v>
      </c>
      <c r="C73" s="5" t="s">
        <v>142</v>
      </c>
      <c r="D73" s="5" t="s">
        <v>99</v>
      </c>
      <c r="E73" t="str">
        <f t="shared" si="4"/>
        <v>El Progreso, El Jícaro, Guatemala</v>
      </c>
    </row>
    <row r="74" spans="1:5" hidden="1" x14ac:dyDescent="0.3">
      <c r="A74" s="5" t="s">
        <v>99</v>
      </c>
      <c r="B74" s="5" t="s">
        <v>138</v>
      </c>
      <c r="C74" s="5" t="s">
        <v>143</v>
      </c>
      <c r="D74" s="5" t="s">
        <v>99</v>
      </c>
      <c r="E74" t="str">
        <f t="shared" si="4"/>
        <v>El Progreso, Morazán, Guatemala</v>
      </c>
    </row>
    <row r="75" spans="1:5" hidden="1" x14ac:dyDescent="0.3">
      <c r="A75" s="5" t="s">
        <v>99</v>
      </c>
      <c r="B75" s="5" t="s">
        <v>138</v>
      </c>
      <c r="C75" s="5" t="s">
        <v>144</v>
      </c>
      <c r="D75" s="5" t="s">
        <v>99</v>
      </c>
      <c r="E75" t="str">
        <f t="shared" si="4"/>
        <v>El Progreso, San Cristóbal Acasaguastlán, Guatemala</v>
      </c>
    </row>
    <row r="76" spans="1:5" hidden="1" x14ac:dyDescent="0.3">
      <c r="A76" s="5" t="s">
        <v>99</v>
      </c>
      <c r="B76" s="5" t="s">
        <v>138</v>
      </c>
      <c r="C76" s="5" t="s">
        <v>145</v>
      </c>
      <c r="D76" s="5" t="s">
        <v>99</v>
      </c>
      <c r="E76" t="str">
        <f t="shared" si="4"/>
        <v>El Progreso, Sanarate, Guatemala</v>
      </c>
    </row>
    <row r="77" spans="1:5" hidden="1" x14ac:dyDescent="0.3">
      <c r="A77" s="5" t="s">
        <v>99</v>
      </c>
      <c r="B77" s="5" t="s">
        <v>138</v>
      </c>
      <c r="C77" s="5" t="s">
        <v>146</v>
      </c>
      <c r="D77" s="5" t="s">
        <v>99</v>
      </c>
      <c r="E77" t="str">
        <f t="shared" si="4"/>
        <v>El Progreso, Guastatoya, Guatemala</v>
      </c>
    </row>
    <row r="78" spans="1:5" hidden="1" x14ac:dyDescent="0.3">
      <c r="A78" s="5" t="s">
        <v>99</v>
      </c>
      <c r="B78" s="5" t="s">
        <v>147</v>
      </c>
      <c r="C78" s="5" t="s">
        <v>148</v>
      </c>
      <c r="D78" s="5" t="s">
        <v>99</v>
      </c>
      <c r="E78" t="str">
        <f t="shared" si="4"/>
        <v>Izabal, Livingston, Guatemala</v>
      </c>
    </row>
    <row r="79" spans="1:5" hidden="1" x14ac:dyDescent="0.3">
      <c r="A79" s="5" t="s">
        <v>99</v>
      </c>
      <c r="B79" s="5" t="s">
        <v>147</v>
      </c>
      <c r="C79" s="5" t="s">
        <v>149</v>
      </c>
      <c r="D79" s="5" t="s">
        <v>99</v>
      </c>
      <c r="E79" t="str">
        <f t="shared" si="4"/>
        <v>Izabal, Morales, Guatemala</v>
      </c>
    </row>
    <row r="80" spans="1:5" hidden="1" x14ac:dyDescent="0.3">
      <c r="A80" s="5" t="s">
        <v>99</v>
      </c>
      <c r="B80" s="5" t="s">
        <v>147</v>
      </c>
      <c r="C80" s="5" t="s">
        <v>150</v>
      </c>
      <c r="D80" s="5" t="s">
        <v>99</v>
      </c>
      <c r="E80" t="str">
        <f t="shared" si="4"/>
        <v>Izabal, El Estor, Guatemala</v>
      </c>
    </row>
    <row r="81" spans="1:5" hidden="1" x14ac:dyDescent="0.3">
      <c r="A81" s="5" t="s">
        <v>99</v>
      </c>
      <c r="B81" s="5" t="s">
        <v>147</v>
      </c>
      <c r="C81" s="5" t="s">
        <v>151</v>
      </c>
      <c r="D81" s="5" t="s">
        <v>99</v>
      </c>
      <c r="E81" t="str">
        <f t="shared" si="4"/>
        <v>Izabal, Los Amates, Guatemala</v>
      </c>
    </row>
    <row r="82" spans="1:5" hidden="1" x14ac:dyDescent="0.3">
      <c r="A82" s="5" t="s">
        <v>99</v>
      </c>
      <c r="B82" s="5" t="s">
        <v>147</v>
      </c>
      <c r="C82" s="5" t="s">
        <v>152</v>
      </c>
      <c r="D82" s="5" t="s">
        <v>99</v>
      </c>
      <c r="E82" t="str">
        <f t="shared" si="4"/>
        <v>Izabal, Puerto Barrios, Guatemala</v>
      </c>
    </row>
    <row r="83" spans="1:5" hidden="1" x14ac:dyDescent="0.3">
      <c r="A83" s="5" t="s">
        <v>99</v>
      </c>
      <c r="B83" s="5" t="s">
        <v>153</v>
      </c>
      <c r="C83" s="5" t="s">
        <v>154</v>
      </c>
      <c r="D83" s="5" t="s">
        <v>99</v>
      </c>
      <c r="E83" t="str">
        <f t="shared" si="4"/>
        <v>Jalapa, San Carlos Alzatate, Guatemala</v>
      </c>
    </row>
    <row r="84" spans="1:5" hidden="1" x14ac:dyDescent="0.3">
      <c r="A84" s="5" t="s">
        <v>99</v>
      </c>
      <c r="B84" s="5" t="s">
        <v>153</v>
      </c>
      <c r="C84" s="5" t="s">
        <v>155</v>
      </c>
      <c r="D84" s="5" t="s">
        <v>99</v>
      </c>
      <c r="E84" t="str">
        <f t="shared" si="4"/>
        <v>Jalapa, San Manuel Chaparrón, Guatemala</v>
      </c>
    </row>
    <row r="85" spans="1:5" hidden="1" x14ac:dyDescent="0.3">
      <c r="A85" s="5" t="s">
        <v>99</v>
      </c>
      <c r="B85" s="5" t="s">
        <v>153</v>
      </c>
      <c r="C85" s="5" t="s">
        <v>156</v>
      </c>
      <c r="D85" s="5" t="s">
        <v>99</v>
      </c>
      <c r="E85" t="str">
        <f t="shared" si="4"/>
        <v>Jalapa, San Luis Jilotepeque, Guatemala</v>
      </c>
    </row>
    <row r="86" spans="1:5" hidden="1" x14ac:dyDescent="0.3">
      <c r="A86" s="5" t="s">
        <v>99</v>
      </c>
      <c r="B86" s="5" t="s">
        <v>153</v>
      </c>
      <c r="C86" s="5" t="s">
        <v>157</v>
      </c>
      <c r="D86" s="5" t="s">
        <v>99</v>
      </c>
      <c r="E86" t="str">
        <f t="shared" si="4"/>
        <v>Jalapa, San Pedro Pinula, Guatemala</v>
      </c>
    </row>
    <row r="87" spans="1:5" hidden="1" x14ac:dyDescent="0.3">
      <c r="A87" s="5" t="s">
        <v>99</v>
      </c>
      <c r="B87" s="5" t="s">
        <v>153</v>
      </c>
      <c r="C87" s="5" t="s">
        <v>153</v>
      </c>
      <c r="D87" s="5" t="s">
        <v>99</v>
      </c>
      <c r="E87" t="str">
        <f t="shared" si="4"/>
        <v>Jalapa, Jalapa, Guatemala</v>
      </c>
    </row>
    <row r="88" spans="1:5" hidden="1" x14ac:dyDescent="0.3">
      <c r="A88" s="5" t="s">
        <v>99</v>
      </c>
      <c r="B88" s="5" t="s">
        <v>153</v>
      </c>
      <c r="C88" s="5" t="s">
        <v>158</v>
      </c>
      <c r="D88" s="5" t="s">
        <v>99</v>
      </c>
      <c r="E88" t="str">
        <f t="shared" si="4"/>
        <v>Jalapa, Monjas, Guatemala</v>
      </c>
    </row>
    <row r="89" spans="1:5" hidden="1" x14ac:dyDescent="0.3">
      <c r="A89" s="5" t="s">
        <v>99</v>
      </c>
      <c r="B89" s="5" t="s">
        <v>153</v>
      </c>
      <c r="C89" s="5" t="s">
        <v>159</v>
      </c>
      <c r="D89" s="5" t="s">
        <v>99</v>
      </c>
      <c r="E89" t="str">
        <f t="shared" si="4"/>
        <v>Jalapa, Mataquescuintla, Guatemala</v>
      </c>
    </row>
    <row r="90" spans="1:5" hidden="1" x14ac:dyDescent="0.3">
      <c r="A90" s="5" t="s">
        <v>99</v>
      </c>
      <c r="B90" s="5" t="s">
        <v>160</v>
      </c>
      <c r="C90" s="5" t="s">
        <v>160</v>
      </c>
      <c r="D90" s="5" t="s">
        <v>99</v>
      </c>
      <c r="E90" t="str">
        <f t="shared" si="4"/>
        <v>Jutiapa, Jutiapa, Guatemala</v>
      </c>
    </row>
    <row r="91" spans="1:5" hidden="1" x14ac:dyDescent="0.3">
      <c r="A91" s="5" t="s">
        <v>99</v>
      </c>
      <c r="B91" s="5" t="s">
        <v>160</v>
      </c>
      <c r="C91" s="5" t="s">
        <v>161</v>
      </c>
      <c r="D91" s="5" t="s">
        <v>99</v>
      </c>
      <c r="E91" t="str">
        <f t="shared" si="4"/>
        <v>Jutiapa, San José Acatempa, Guatemala</v>
      </c>
    </row>
    <row r="92" spans="1:5" hidden="1" x14ac:dyDescent="0.3">
      <c r="A92" s="5" t="s">
        <v>99</v>
      </c>
      <c r="B92" s="5" t="s">
        <v>160</v>
      </c>
      <c r="C92" s="5" t="s">
        <v>162</v>
      </c>
      <c r="D92" s="5" t="s">
        <v>99</v>
      </c>
      <c r="E92" t="str">
        <f t="shared" si="4"/>
        <v>Jutiapa, El Adelanto, Guatemala</v>
      </c>
    </row>
    <row r="93" spans="1:5" hidden="1" x14ac:dyDescent="0.3">
      <c r="A93" s="5" t="s">
        <v>99</v>
      </c>
      <c r="B93" s="5" t="s">
        <v>160</v>
      </c>
      <c r="C93" s="5" t="s">
        <v>163</v>
      </c>
      <c r="D93" s="5" t="s">
        <v>99</v>
      </c>
      <c r="E93" t="str">
        <f t="shared" si="4"/>
        <v>Jutiapa, Jerez, Guatemala</v>
      </c>
    </row>
    <row r="94" spans="1:5" hidden="1" x14ac:dyDescent="0.3">
      <c r="A94" s="5" t="s">
        <v>99</v>
      </c>
      <c r="B94" s="5" t="s">
        <v>160</v>
      </c>
      <c r="C94" s="5" t="s">
        <v>164</v>
      </c>
      <c r="D94" s="5" t="s">
        <v>99</v>
      </c>
      <c r="E94" t="str">
        <f t="shared" si="4"/>
        <v>Jutiapa, Pasaco, Guatemala</v>
      </c>
    </row>
    <row r="95" spans="1:5" hidden="1" x14ac:dyDescent="0.3">
      <c r="A95" s="5" t="s">
        <v>99</v>
      </c>
      <c r="B95" s="5" t="s">
        <v>160</v>
      </c>
      <c r="C95" s="5" t="s">
        <v>165</v>
      </c>
      <c r="D95" s="5" t="s">
        <v>99</v>
      </c>
      <c r="E95" t="str">
        <f t="shared" si="4"/>
        <v>Jutiapa, Conguaco, Guatemala</v>
      </c>
    </row>
    <row r="96" spans="1:5" hidden="1" x14ac:dyDescent="0.3">
      <c r="A96" s="5" t="s">
        <v>99</v>
      </c>
      <c r="B96" s="5" t="s">
        <v>160</v>
      </c>
      <c r="C96" s="5" t="s">
        <v>166</v>
      </c>
      <c r="D96" s="5" t="s">
        <v>99</v>
      </c>
      <c r="E96" t="str">
        <f t="shared" si="4"/>
        <v>Jutiapa, Zapotitlán, Guatemala</v>
      </c>
    </row>
    <row r="97" spans="1:5" hidden="1" x14ac:dyDescent="0.3">
      <c r="A97" s="5" t="s">
        <v>99</v>
      </c>
      <c r="B97" s="5" t="s">
        <v>160</v>
      </c>
      <c r="C97" s="5" t="s">
        <v>167</v>
      </c>
      <c r="D97" s="5" t="s">
        <v>99</v>
      </c>
      <c r="E97" t="str">
        <f t="shared" si="4"/>
        <v>Jutiapa, Yupiltepeque, Guatemala</v>
      </c>
    </row>
    <row r="98" spans="1:5" hidden="1" x14ac:dyDescent="0.3">
      <c r="A98" s="5" t="s">
        <v>99</v>
      </c>
      <c r="B98" s="5" t="s">
        <v>160</v>
      </c>
      <c r="C98" s="5" t="s">
        <v>168</v>
      </c>
      <c r="D98" s="5" t="s">
        <v>99</v>
      </c>
      <c r="E98" t="str">
        <f t="shared" si="4"/>
        <v>Jutiapa, Atescatempa, Guatemala</v>
      </c>
    </row>
    <row r="99" spans="1:5" hidden="1" x14ac:dyDescent="0.3">
      <c r="A99" s="5" t="s">
        <v>99</v>
      </c>
      <c r="B99" s="5" t="s">
        <v>160</v>
      </c>
      <c r="C99" s="5" t="s">
        <v>169</v>
      </c>
      <c r="D99" s="5" t="s">
        <v>99</v>
      </c>
      <c r="E99" t="str">
        <f t="shared" ref="E99:E117" si="5">B99&amp;", "&amp;C99&amp;", Guatemala"</f>
        <v>Jutiapa, Santa Catarina Mita, Guatemala</v>
      </c>
    </row>
    <row r="100" spans="1:5" hidden="1" x14ac:dyDescent="0.3">
      <c r="A100" s="5" t="s">
        <v>99</v>
      </c>
      <c r="B100" s="5" t="s">
        <v>160</v>
      </c>
      <c r="C100" s="5" t="s">
        <v>170</v>
      </c>
      <c r="D100" s="5" t="s">
        <v>99</v>
      </c>
      <c r="E100" t="str">
        <f t="shared" si="5"/>
        <v>Jutiapa, Jalpatagua, Guatemala</v>
      </c>
    </row>
    <row r="101" spans="1:5" hidden="1" x14ac:dyDescent="0.3">
      <c r="A101" s="5" t="s">
        <v>99</v>
      </c>
      <c r="B101" s="5" t="s">
        <v>160</v>
      </c>
      <c r="C101" s="5" t="s">
        <v>171</v>
      </c>
      <c r="D101" s="5" t="s">
        <v>99</v>
      </c>
      <c r="E101" t="str">
        <f t="shared" si="5"/>
        <v>Jutiapa, Comapa, Guatemala</v>
      </c>
    </row>
    <row r="102" spans="1:5" hidden="1" x14ac:dyDescent="0.3">
      <c r="A102" s="5" t="s">
        <v>99</v>
      </c>
      <c r="B102" s="5" t="s">
        <v>160</v>
      </c>
      <c r="C102" s="5" t="s">
        <v>172</v>
      </c>
      <c r="D102" s="5" t="s">
        <v>99</v>
      </c>
      <c r="E102" t="str">
        <f t="shared" si="5"/>
        <v>Jutiapa, Agua Blanca, Guatemala</v>
      </c>
    </row>
    <row r="103" spans="1:5" hidden="1" x14ac:dyDescent="0.3">
      <c r="A103" s="5" t="s">
        <v>99</v>
      </c>
      <c r="B103" s="5" t="s">
        <v>160</v>
      </c>
      <c r="C103" s="5" t="s">
        <v>173</v>
      </c>
      <c r="D103" s="5" t="s">
        <v>99</v>
      </c>
      <c r="E103" t="str">
        <f t="shared" si="5"/>
        <v>Jutiapa, Asunción Mita, Guatemala</v>
      </c>
    </row>
    <row r="104" spans="1:5" hidden="1" x14ac:dyDescent="0.3">
      <c r="A104" s="5" t="s">
        <v>99</v>
      </c>
      <c r="B104" s="5" t="s">
        <v>160</v>
      </c>
      <c r="C104" s="5" t="s">
        <v>174</v>
      </c>
      <c r="D104" s="5" t="s">
        <v>99</v>
      </c>
      <c r="E104" t="str">
        <f t="shared" si="5"/>
        <v>Jutiapa, Moyuta, Guatemala</v>
      </c>
    </row>
    <row r="105" spans="1:5" hidden="1" x14ac:dyDescent="0.3">
      <c r="A105" s="5" t="s">
        <v>99</v>
      </c>
      <c r="B105" s="5" t="s">
        <v>160</v>
      </c>
      <c r="C105" s="5" t="s">
        <v>138</v>
      </c>
      <c r="D105" s="5" t="s">
        <v>99</v>
      </c>
      <c r="E105" t="str">
        <f t="shared" si="5"/>
        <v>Jutiapa, El Progreso, Guatemala</v>
      </c>
    </row>
    <row r="106" spans="1:5" hidden="1" x14ac:dyDescent="0.3">
      <c r="A106" s="5" t="s">
        <v>99</v>
      </c>
      <c r="B106" s="5" t="s">
        <v>160</v>
      </c>
      <c r="C106" s="5" t="s">
        <v>175</v>
      </c>
      <c r="D106" s="5" t="s">
        <v>99</v>
      </c>
      <c r="E106" t="str">
        <f t="shared" si="5"/>
        <v>Jutiapa, Quesada, Guatemala</v>
      </c>
    </row>
    <row r="107" spans="1:5" hidden="1" x14ac:dyDescent="0.3">
      <c r="A107" s="5" t="s">
        <v>99</v>
      </c>
      <c r="B107" s="5" t="s">
        <v>176</v>
      </c>
      <c r="C107" s="5" t="s">
        <v>177</v>
      </c>
      <c r="D107" s="5" t="s">
        <v>99</v>
      </c>
      <c r="E107" t="str">
        <f t="shared" si="5"/>
        <v>Zacapa, San Jorge, Guatemala</v>
      </c>
    </row>
    <row r="108" spans="1:5" hidden="1" x14ac:dyDescent="0.3">
      <c r="A108" s="5" t="s">
        <v>99</v>
      </c>
      <c r="B108" s="5" t="s">
        <v>176</v>
      </c>
      <c r="C108" s="5" t="s">
        <v>178</v>
      </c>
      <c r="D108" s="5" t="s">
        <v>99</v>
      </c>
      <c r="E108" t="str">
        <f t="shared" si="5"/>
        <v>Zacapa, Cabañas, Guatemala</v>
      </c>
    </row>
    <row r="109" spans="1:5" hidden="1" x14ac:dyDescent="0.3">
      <c r="A109" s="5" t="s">
        <v>99</v>
      </c>
      <c r="B109" s="5" t="s">
        <v>176</v>
      </c>
      <c r="C109" s="5" t="s">
        <v>179</v>
      </c>
      <c r="D109" s="5" t="s">
        <v>99</v>
      </c>
      <c r="E109" t="str">
        <f t="shared" si="5"/>
        <v>Zacapa, Gualán, Guatemala</v>
      </c>
    </row>
    <row r="110" spans="1:5" hidden="1" x14ac:dyDescent="0.3">
      <c r="A110" s="5" t="s">
        <v>99</v>
      </c>
      <c r="B110" s="5" t="s">
        <v>176</v>
      </c>
      <c r="C110" s="5" t="s">
        <v>180</v>
      </c>
      <c r="D110" s="5" t="s">
        <v>99</v>
      </c>
      <c r="E110" t="str">
        <f t="shared" si="5"/>
        <v>Zacapa, Huité, Guatemala</v>
      </c>
    </row>
    <row r="111" spans="1:5" hidden="1" x14ac:dyDescent="0.3">
      <c r="A111" s="5" t="s">
        <v>99</v>
      </c>
      <c r="B111" s="5" t="s">
        <v>176</v>
      </c>
      <c r="C111" s="5" t="s">
        <v>181</v>
      </c>
      <c r="D111" s="5" t="s">
        <v>99</v>
      </c>
      <c r="E111" t="str">
        <f t="shared" si="5"/>
        <v>Zacapa, Usumatlán, Guatemala</v>
      </c>
    </row>
    <row r="112" spans="1:5" hidden="1" x14ac:dyDescent="0.3">
      <c r="A112" s="5" t="s">
        <v>99</v>
      </c>
      <c r="B112" s="5" t="s">
        <v>176</v>
      </c>
      <c r="C112" s="5" t="s">
        <v>182</v>
      </c>
      <c r="D112" s="5" t="s">
        <v>99</v>
      </c>
      <c r="E112" t="str">
        <f t="shared" si="5"/>
        <v>Zacapa, Río Hondo, Guatemala</v>
      </c>
    </row>
    <row r="113" spans="1:5" hidden="1" x14ac:dyDescent="0.3">
      <c r="A113" s="5" t="s">
        <v>99</v>
      </c>
      <c r="B113" s="5" t="s">
        <v>176</v>
      </c>
      <c r="C113" s="5" t="s">
        <v>183</v>
      </c>
      <c r="D113" s="5" t="s">
        <v>99</v>
      </c>
      <c r="E113" t="str">
        <f t="shared" si="5"/>
        <v>Zacapa, La Unión, Guatemala</v>
      </c>
    </row>
    <row r="114" spans="1:5" hidden="1" x14ac:dyDescent="0.3">
      <c r="A114" s="5" t="s">
        <v>99</v>
      </c>
      <c r="B114" s="5" t="s">
        <v>176</v>
      </c>
      <c r="C114" s="5" t="s">
        <v>184</v>
      </c>
      <c r="D114" s="5" t="s">
        <v>99</v>
      </c>
      <c r="E114" t="str">
        <f t="shared" si="5"/>
        <v>Zacapa, Estanzuela, Guatemala</v>
      </c>
    </row>
    <row r="115" spans="1:5" hidden="1" x14ac:dyDescent="0.3">
      <c r="A115" s="5" t="s">
        <v>99</v>
      </c>
      <c r="B115" s="5" t="s">
        <v>176</v>
      </c>
      <c r="C115" s="5" t="s">
        <v>176</v>
      </c>
      <c r="D115" s="5" t="s">
        <v>99</v>
      </c>
      <c r="E115" t="str">
        <f t="shared" si="5"/>
        <v>Zacapa, Zacapa, Guatemala</v>
      </c>
    </row>
    <row r="116" spans="1:5" hidden="1" x14ac:dyDescent="0.3">
      <c r="A116" s="5" t="s">
        <v>99</v>
      </c>
      <c r="B116" s="5" t="s">
        <v>176</v>
      </c>
      <c r="C116" s="5" t="s">
        <v>185</v>
      </c>
      <c r="D116" s="5" t="s">
        <v>99</v>
      </c>
      <c r="E116" t="str">
        <f t="shared" si="5"/>
        <v>Zacapa, Teculután, Guatemala</v>
      </c>
    </row>
    <row r="117" spans="1:5" hidden="1" x14ac:dyDescent="0.3">
      <c r="A117" s="5" t="s">
        <v>99</v>
      </c>
      <c r="B117" s="5" t="s">
        <v>176</v>
      </c>
      <c r="C117" s="5" t="s">
        <v>186</v>
      </c>
      <c r="D117" s="5" t="s">
        <v>99</v>
      </c>
      <c r="E117" t="str">
        <f t="shared" si="5"/>
        <v>Zacapa, San Diego, Guatemala</v>
      </c>
    </row>
    <row r="118" spans="1:5" hidden="1" x14ac:dyDescent="0.3">
      <c r="A118" s="5" t="s">
        <v>187</v>
      </c>
      <c r="B118" s="5" t="s">
        <v>188</v>
      </c>
      <c r="C118" s="5" t="s">
        <v>189</v>
      </c>
      <c r="D118" s="5" t="s">
        <v>187</v>
      </c>
      <c r="E118" s="18" t="str">
        <f>B118&amp;", "&amp;C118&amp;", Guatemala"</f>
        <v>Escuintla, Sipacate, Guatemala</v>
      </c>
    </row>
    <row r="119" spans="1:5" hidden="1" x14ac:dyDescent="0.3">
      <c r="A119" s="5" t="s">
        <v>187</v>
      </c>
      <c r="B119" s="5" t="s">
        <v>188</v>
      </c>
      <c r="C119" s="5" t="s">
        <v>190</v>
      </c>
      <c r="D119" s="5" t="s">
        <v>187</v>
      </c>
      <c r="E119" s="18" t="str">
        <f t="shared" ref="E119:E175" si="6">B119&amp;", "&amp;C119&amp;", Guatemala"</f>
        <v>Escuintla, Masagua, Guatemala</v>
      </c>
    </row>
    <row r="120" spans="1:5" hidden="1" x14ac:dyDescent="0.3">
      <c r="A120" s="5" t="s">
        <v>187</v>
      </c>
      <c r="B120" s="5" t="s">
        <v>188</v>
      </c>
      <c r="C120" s="5" t="s">
        <v>191</v>
      </c>
      <c r="D120" s="5" t="s">
        <v>187</v>
      </c>
      <c r="E120" s="18" t="str">
        <f t="shared" si="6"/>
        <v>Escuintla, Guanagazapa, Guatemala</v>
      </c>
    </row>
    <row r="121" spans="1:5" hidden="1" x14ac:dyDescent="0.3">
      <c r="A121" s="5" t="s">
        <v>187</v>
      </c>
      <c r="B121" s="5" t="s">
        <v>188</v>
      </c>
      <c r="C121" s="5" t="s">
        <v>192</v>
      </c>
      <c r="D121" s="5" t="s">
        <v>187</v>
      </c>
      <c r="E121" s="18" t="str">
        <f t="shared" si="6"/>
        <v>Escuintla, Iztapa, Guatemala</v>
      </c>
    </row>
    <row r="122" spans="1:5" hidden="1" x14ac:dyDescent="0.3">
      <c r="A122" s="5" t="s">
        <v>187</v>
      </c>
      <c r="B122" s="5" t="s">
        <v>188</v>
      </c>
      <c r="C122" s="5" t="s">
        <v>193</v>
      </c>
      <c r="D122" s="5" t="s">
        <v>187</v>
      </c>
      <c r="E122" s="18" t="str">
        <f t="shared" si="6"/>
        <v>Escuintla, San José, Guatemala</v>
      </c>
    </row>
    <row r="123" spans="1:5" hidden="1" x14ac:dyDescent="0.3">
      <c r="A123" s="5" t="s">
        <v>187</v>
      </c>
      <c r="B123" s="5" t="s">
        <v>188</v>
      </c>
      <c r="C123" s="5" t="s">
        <v>194</v>
      </c>
      <c r="D123" s="5" t="s">
        <v>187</v>
      </c>
      <c r="E123" s="18" t="str">
        <f t="shared" si="6"/>
        <v>Escuintla, La Gomera, Guatemala</v>
      </c>
    </row>
    <row r="124" spans="1:5" hidden="1" x14ac:dyDescent="0.3">
      <c r="A124" s="5" t="s">
        <v>187</v>
      </c>
      <c r="B124" s="5" t="s">
        <v>188</v>
      </c>
      <c r="C124" s="5" t="s">
        <v>195</v>
      </c>
      <c r="D124" s="5" t="s">
        <v>187</v>
      </c>
      <c r="E124" s="18" t="str">
        <f t="shared" si="6"/>
        <v>Escuintla, Nueva Concepción, Guatemala</v>
      </c>
    </row>
    <row r="125" spans="1:5" hidden="1" x14ac:dyDescent="0.3">
      <c r="A125" s="5" t="s">
        <v>187</v>
      </c>
      <c r="B125" s="5" t="s">
        <v>188</v>
      </c>
      <c r="C125" s="5" t="s">
        <v>196</v>
      </c>
      <c r="D125" s="5" t="s">
        <v>187</v>
      </c>
      <c r="E125" s="18" t="str">
        <f t="shared" si="6"/>
        <v>Escuintla, Tiquisate, Guatemala</v>
      </c>
    </row>
    <row r="126" spans="1:5" hidden="1" x14ac:dyDescent="0.3">
      <c r="A126" s="5" t="s">
        <v>187</v>
      </c>
      <c r="B126" s="5" t="s">
        <v>188</v>
      </c>
      <c r="C126" s="5" t="s">
        <v>197</v>
      </c>
      <c r="D126" s="5" t="s">
        <v>187</v>
      </c>
      <c r="E126" s="18" t="str">
        <f t="shared" si="6"/>
        <v>Escuintla, San Vicente Pacaya, Guatemala</v>
      </c>
    </row>
    <row r="127" spans="1:5" hidden="1" x14ac:dyDescent="0.3">
      <c r="A127" s="5" t="s">
        <v>187</v>
      </c>
      <c r="B127" s="5" t="s">
        <v>188</v>
      </c>
      <c r="C127" s="5" t="s">
        <v>198</v>
      </c>
      <c r="D127" s="5" t="s">
        <v>187</v>
      </c>
      <c r="E127" s="18" t="str">
        <f t="shared" si="6"/>
        <v>Escuintla, La Democracia, Guatemala</v>
      </c>
    </row>
    <row r="128" spans="1:5" hidden="1" x14ac:dyDescent="0.3">
      <c r="A128" s="5" t="s">
        <v>187</v>
      </c>
      <c r="B128" s="5" t="s">
        <v>188</v>
      </c>
      <c r="C128" s="5" t="s">
        <v>188</v>
      </c>
      <c r="D128" s="5" t="s">
        <v>187</v>
      </c>
      <c r="E128" s="18" t="str">
        <f t="shared" si="6"/>
        <v>Escuintla, Escuintla, Guatemala</v>
      </c>
    </row>
    <row r="129" spans="1:5" hidden="1" x14ac:dyDescent="0.3">
      <c r="A129" s="5" t="s">
        <v>187</v>
      </c>
      <c r="B129" s="5" t="s">
        <v>188</v>
      </c>
      <c r="C129" s="5" t="s">
        <v>199</v>
      </c>
      <c r="D129" s="5" t="s">
        <v>187</v>
      </c>
      <c r="E129" s="18" t="str">
        <f t="shared" si="6"/>
        <v>Escuintla, Siquinalá, Guatemala</v>
      </c>
    </row>
    <row r="130" spans="1:5" hidden="1" x14ac:dyDescent="0.3">
      <c r="A130" s="5" t="s">
        <v>187</v>
      </c>
      <c r="B130" s="5" t="s">
        <v>188</v>
      </c>
      <c r="C130" s="5" t="s">
        <v>200</v>
      </c>
      <c r="D130" s="5" t="s">
        <v>187</v>
      </c>
      <c r="E130" s="18" t="str">
        <f t="shared" si="6"/>
        <v>Escuintla, Palín, Guatemala</v>
      </c>
    </row>
    <row r="131" spans="1:5" hidden="1" x14ac:dyDescent="0.3">
      <c r="A131" s="5" t="s">
        <v>187</v>
      </c>
      <c r="B131" s="5" t="s">
        <v>188</v>
      </c>
      <c r="C131" s="5" t="s">
        <v>201</v>
      </c>
      <c r="D131" s="5" t="s">
        <v>187</v>
      </c>
      <c r="E131" s="18" t="str">
        <f t="shared" si="6"/>
        <v>Escuintla, Santa Lucía Cotzumalguapa, Guatemala</v>
      </c>
    </row>
    <row r="132" spans="1:5" hidden="1" x14ac:dyDescent="0.3">
      <c r="A132" s="5" t="s">
        <v>187</v>
      </c>
      <c r="B132" s="5" t="s">
        <v>202</v>
      </c>
      <c r="C132" s="5" t="s">
        <v>203</v>
      </c>
      <c r="D132" s="5" t="s">
        <v>187</v>
      </c>
      <c r="E132" s="18" t="str">
        <f t="shared" si="6"/>
        <v>Retalhuleu, San Andrés Villa Seca, Guatemala</v>
      </c>
    </row>
    <row r="133" spans="1:5" hidden="1" x14ac:dyDescent="0.3">
      <c r="A133" s="5" t="s">
        <v>187</v>
      </c>
      <c r="B133" s="5" t="s">
        <v>202</v>
      </c>
      <c r="C133" s="5" t="s">
        <v>204</v>
      </c>
      <c r="D133" s="5" t="s">
        <v>187</v>
      </c>
      <c r="E133" s="18" t="str">
        <f t="shared" si="6"/>
        <v>Retalhuleu, El Asintal, Guatemala</v>
      </c>
    </row>
    <row r="134" spans="1:5" hidden="1" x14ac:dyDescent="0.3">
      <c r="A134" s="5" t="s">
        <v>187</v>
      </c>
      <c r="B134" s="5" t="s">
        <v>202</v>
      </c>
      <c r="C134" s="5" t="s">
        <v>205</v>
      </c>
      <c r="D134" s="5" t="s">
        <v>187</v>
      </c>
      <c r="E134" s="18" t="str">
        <f t="shared" si="6"/>
        <v>Retalhuleu, Champerico, Guatemala</v>
      </c>
    </row>
    <row r="135" spans="1:5" hidden="1" x14ac:dyDescent="0.3">
      <c r="A135" s="5" t="s">
        <v>187</v>
      </c>
      <c r="B135" s="5" t="s">
        <v>202</v>
      </c>
      <c r="C135" s="5" t="s">
        <v>206</v>
      </c>
      <c r="D135" s="5" t="s">
        <v>187</v>
      </c>
      <c r="E135" s="18" t="str">
        <f t="shared" si="6"/>
        <v>Retalhuleu, Nuevo San Carlos, Guatemala</v>
      </c>
    </row>
    <row r="136" spans="1:5" hidden="1" x14ac:dyDescent="0.3">
      <c r="A136" s="5" t="s">
        <v>187</v>
      </c>
      <c r="B136" s="5" t="s">
        <v>202</v>
      </c>
      <c r="C136" s="5" t="s">
        <v>207</v>
      </c>
      <c r="D136" s="5" t="s">
        <v>187</v>
      </c>
      <c r="E136" s="18" t="str">
        <f t="shared" si="6"/>
        <v>Retalhuleu, San Sebastián, Guatemala</v>
      </c>
    </row>
    <row r="137" spans="1:5" hidden="1" x14ac:dyDescent="0.3">
      <c r="A137" s="5" t="s">
        <v>187</v>
      </c>
      <c r="B137" s="5" t="s">
        <v>202</v>
      </c>
      <c r="C137" s="5" t="s">
        <v>208</v>
      </c>
      <c r="D137" s="5" t="s">
        <v>187</v>
      </c>
      <c r="E137" s="18" t="str">
        <f t="shared" si="6"/>
        <v>Retalhuleu, San Martín Zapotitlán, Guatemala</v>
      </c>
    </row>
    <row r="138" spans="1:5" hidden="1" x14ac:dyDescent="0.3">
      <c r="A138" s="5" t="s">
        <v>187</v>
      </c>
      <c r="B138" s="5" t="s">
        <v>202</v>
      </c>
      <c r="C138" s="5" t="s">
        <v>209</v>
      </c>
      <c r="D138" s="5" t="s">
        <v>187</v>
      </c>
      <c r="E138" s="18" t="str">
        <f t="shared" si="6"/>
        <v>Retalhuleu, Santa Cruz Muluá, Guatemala</v>
      </c>
    </row>
    <row r="139" spans="1:5" hidden="1" x14ac:dyDescent="0.3">
      <c r="A139" s="5" t="s">
        <v>187</v>
      </c>
      <c r="B139" s="5" t="s">
        <v>202</v>
      </c>
      <c r="C139" s="5" t="s">
        <v>202</v>
      </c>
      <c r="D139" s="5" t="s">
        <v>187</v>
      </c>
      <c r="E139" s="18" t="str">
        <f t="shared" si="6"/>
        <v>Retalhuleu, Retalhuleu, Guatemala</v>
      </c>
    </row>
    <row r="140" spans="1:5" hidden="1" x14ac:dyDescent="0.3">
      <c r="A140" s="5" t="s">
        <v>187</v>
      </c>
      <c r="B140" s="5" t="s">
        <v>202</v>
      </c>
      <c r="C140" s="5" t="s">
        <v>210</v>
      </c>
      <c r="D140" s="5" t="s">
        <v>187</v>
      </c>
      <c r="E140" s="18" t="str">
        <f t="shared" si="6"/>
        <v>Retalhuleu, San Felipe, Guatemala</v>
      </c>
    </row>
    <row r="141" spans="1:5" hidden="1" x14ac:dyDescent="0.3">
      <c r="A141" s="5" t="s">
        <v>187</v>
      </c>
      <c r="B141" s="5" t="s">
        <v>211</v>
      </c>
      <c r="C141" s="5" t="s">
        <v>212</v>
      </c>
      <c r="D141" s="5" t="s">
        <v>187</v>
      </c>
      <c r="E141" s="18" t="str">
        <f t="shared" si="6"/>
        <v>Santa Rosa, Taxisco, Guatemala</v>
      </c>
    </row>
    <row r="142" spans="1:5" hidden="1" x14ac:dyDescent="0.3">
      <c r="A142" s="5" t="s">
        <v>187</v>
      </c>
      <c r="B142" s="5" t="s">
        <v>211</v>
      </c>
      <c r="C142" s="5" t="s">
        <v>213</v>
      </c>
      <c r="D142" s="5" t="s">
        <v>187</v>
      </c>
      <c r="E142" s="18" t="str">
        <f t="shared" si="6"/>
        <v>Santa Rosa, San Rafael las Flores, Guatemala</v>
      </c>
    </row>
    <row r="143" spans="1:5" hidden="1" x14ac:dyDescent="0.3">
      <c r="A143" s="5" t="s">
        <v>187</v>
      </c>
      <c r="B143" s="5" t="s">
        <v>211</v>
      </c>
      <c r="C143" s="5" t="s">
        <v>214</v>
      </c>
      <c r="D143" s="5" t="s">
        <v>187</v>
      </c>
      <c r="E143" s="18" t="str">
        <f t="shared" si="6"/>
        <v>Santa Rosa, Casillas, Guatemala</v>
      </c>
    </row>
    <row r="144" spans="1:5" hidden="1" x14ac:dyDescent="0.3">
      <c r="A144" s="5" t="s">
        <v>187</v>
      </c>
      <c r="B144" s="5" t="s">
        <v>211</v>
      </c>
      <c r="C144" s="5" t="s">
        <v>215</v>
      </c>
      <c r="D144" s="5" t="s">
        <v>187</v>
      </c>
      <c r="E144" s="18" t="str">
        <f t="shared" si="6"/>
        <v>Santa Rosa, Oratorio, Guatemala</v>
      </c>
    </row>
    <row r="145" spans="1:5" hidden="1" x14ac:dyDescent="0.3">
      <c r="A145" s="5" t="s">
        <v>187</v>
      </c>
      <c r="B145" s="5" t="s">
        <v>211</v>
      </c>
      <c r="C145" s="5" t="s">
        <v>216</v>
      </c>
      <c r="D145" s="5" t="s">
        <v>187</v>
      </c>
      <c r="E145" s="18" t="str">
        <f t="shared" si="6"/>
        <v>Santa Rosa, Nueva Santa Rosa, Guatemala</v>
      </c>
    </row>
    <row r="146" spans="1:5" hidden="1" x14ac:dyDescent="0.3">
      <c r="A146" s="5" t="s">
        <v>187</v>
      </c>
      <c r="B146" s="5" t="s">
        <v>211</v>
      </c>
      <c r="C146" s="5" t="s">
        <v>217</v>
      </c>
      <c r="D146" s="5" t="s">
        <v>187</v>
      </c>
      <c r="E146" s="18" t="str">
        <f t="shared" si="6"/>
        <v>Santa Rosa, Barberena, Guatemala</v>
      </c>
    </row>
    <row r="147" spans="1:5" hidden="1" x14ac:dyDescent="0.3">
      <c r="A147" s="5" t="s">
        <v>187</v>
      </c>
      <c r="B147" s="5" t="s">
        <v>211</v>
      </c>
      <c r="C147" s="5" t="s">
        <v>218</v>
      </c>
      <c r="D147" s="5" t="s">
        <v>187</v>
      </c>
      <c r="E147" s="18" t="str">
        <f t="shared" si="6"/>
        <v>Santa Rosa, Pueblo Nuevo Viñas, Guatemala</v>
      </c>
    </row>
    <row r="148" spans="1:5" hidden="1" x14ac:dyDescent="0.3">
      <c r="A148" s="5" t="s">
        <v>187</v>
      </c>
      <c r="B148" s="5" t="s">
        <v>211</v>
      </c>
      <c r="C148" s="5" t="s">
        <v>219</v>
      </c>
      <c r="D148" s="5" t="s">
        <v>187</v>
      </c>
      <c r="E148" s="18" t="str">
        <f t="shared" si="6"/>
        <v>Santa Rosa, Santa Cruz Naranjo, Guatemala</v>
      </c>
    </row>
    <row r="149" spans="1:5" hidden="1" x14ac:dyDescent="0.3">
      <c r="A149" s="5" t="s">
        <v>187</v>
      </c>
      <c r="B149" s="5" t="s">
        <v>211</v>
      </c>
      <c r="C149" s="5" t="s">
        <v>220</v>
      </c>
      <c r="D149" s="5" t="s">
        <v>187</v>
      </c>
      <c r="E149" s="18" t="str">
        <f t="shared" si="6"/>
        <v>Santa Rosa, Cuilapa, Guatemala</v>
      </c>
    </row>
    <row r="150" spans="1:5" hidden="1" x14ac:dyDescent="0.3">
      <c r="A150" s="5" t="s">
        <v>187</v>
      </c>
      <c r="B150" s="5" t="s">
        <v>211</v>
      </c>
      <c r="C150" s="5" t="s">
        <v>221</v>
      </c>
      <c r="D150" s="5" t="s">
        <v>187</v>
      </c>
      <c r="E150" s="18" t="str">
        <f t="shared" si="6"/>
        <v>Santa Rosa, Santa María Ixhuatán, Guatemala</v>
      </c>
    </row>
    <row r="151" spans="1:5" hidden="1" x14ac:dyDescent="0.3">
      <c r="A151" s="5" t="s">
        <v>187</v>
      </c>
      <c r="B151" s="5" t="s">
        <v>211</v>
      </c>
      <c r="C151" s="5" t="s">
        <v>222</v>
      </c>
      <c r="D151" s="5" t="s">
        <v>187</v>
      </c>
      <c r="E151" s="18" t="str">
        <f t="shared" si="6"/>
        <v>Santa Rosa, Guazacapán, Guatemala</v>
      </c>
    </row>
    <row r="152" spans="1:5" hidden="1" x14ac:dyDescent="0.3">
      <c r="A152" s="5" t="s">
        <v>187</v>
      </c>
      <c r="B152" s="5" t="s">
        <v>211</v>
      </c>
      <c r="C152" s="5" t="s">
        <v>223</v>
      </c>
      <c r="D152" s="5" t="s">
        <v>187</v>
      </c>
      <c r="E152" s="18" t="str">
        <f t="shared" si="6"/>
        <v>Santa Rosa, Santa Rosa de Lima, Guatemala</v>
      </c>
    </row>
    <row r="153" spans="1:5" hidden="1" x14ac:dyDescent="0.3">
      <c r="A153" s="5" t="s">
        <v>187</v>
      </c>
      <c r="B153" s="5" t="s">
        <v>211</v>
      </c>
      <c r="C153" s="5" t="s">
        <v>224</v>
      </c>
      <c r="D153" s="5" t="s">
        <v>187</v>
      </c>
      <c r="E153" s="18" t="str">
        <f t="shared" si="6"/>
        <v>Santa Rosa, San Juan Tecuaco, Guatemala</v>
      </c>
    </row>
    <row r="154" spans="1:5" x14ac:dyDescent="0.3">
      <c r="A154" s="5" t="s">
        <v>187</v>
      </c>
      <c r="B154" s="5" t="s">
        <v>211</v>
      </c>
      <c r="C154" s="5" t="s">
        <v>225</v>
      </c>
      <c r="D154" s="5" t="s">
        <v>187</v>
      </c>
      <c r="E154" s="18" t="str">
        <f t="shared" si="6"/>
        <v>Santa Rosa, Chiquimulilla, Guatemala</v>
      </c>
    </row>
    <row r="155" spans="1:5" hidden="1" x14ac:dyDescent="0.3">
      <c r="A155" s="5" t="s">
        <v>187</v>
      </c>
      <c r="B155" s="5" t="s">
        <v>226</v>
      </c>
      <c r="C155" s="5" t="s">
        <v>227</v>
      </c>
      <c r="D155" s="5" t="s">
        <v>187</v>
      </c>
      <c r="E155" s="18" t="str">
        <f t="shared" si="6"/>
        <v>Suchitepéquez, Santa Bárbara, Guatemala</v>
      </c>
    </row>
    <row r="156" spans="1:5" hidden="1" x14ac:dyDescent="0.3">
      <c r="A156" s="5" t="s">
        <v>187</v>
      </c>
      <c r="B156" s="5" t="s">
        <v>226</v>
      </c>
      <c r="C156" s="5" t="s">
        <v>228</v>
      </c>
      <c r="D156" s="5" t="s">
        <v>187</v>
      </c>
      <c r="E156" s="18" t="str">
        <f t="shared" si="6"/>
        <v>Suchitepéquez, San Miguel Panán, Guatemala</v>
      </c>
    </row>
    <row r="157" spans="1:5" hidden="1" x14ac:dyDescent="0.3">
      <c r="A157" s="5" t="s">
        <v>187</v>
      </c>
      <c r="B157" s="5" t="s">
        <v>226</v>
      </c>
      <c r="C157" s="5" t="s">
        <v>229</v>
      </c>
      <c r="D157" s="5" t="s">
        <v>187</v>
      </c>
      <c r="E157" s="18" t="str">
        <f t="shared" si="6"/>
        <v>Suchitepéquez, San Lorenzo, Guatemala</v>
      </c>
    </row>
    <row r="158" spans="1:5" hidden="1" x14ac:dyDescent="0.3">
      <c r="A158" s="5" t="s">
        <v>187</v>
      </c>
      <c r="B158" s="5" t="s">
        <v>226</v>
      </c>
      <c r="C158" s="5" t="s">
        <v>230</v>
      </c>
      <c r="D158" s="5" t="s">
        <v>187</v>
      </c>
      <c r="E158" s="18" t="str">
        <f t="shared" si="6"/>
        <v>Suchitepéquez, Río Bravo, Guatemala</v>
      </c>
    </row>
    <row r="159" spans="1:5" hidden="1" x14ac:dyDescent="0.3">
      <c r="A159" s="5" t="s">
        <v>187</v>
      </c>
      <c r="B159" s="5" t="s">
        <v>226</v>
      </c>
      <c r="C159" s="5" t="s">
        <v>231</v>
      </c>
      <c r="D159" s="5" t="s">
        <v>187</v>
      </c>
      <c r="E159" s="18" t="str">
        <f t="shared" si="6"/>
        <v>Suchitepéquez, San Pablo Jocopilas, Guatemala</v>
      </c>
    </row>
    <row r="160" spans="1:5" hidden="1" x14ac:dyDescent="0.3">
      <c r="A160" s="5" t="s">
        <v>187</v>
      </c>
      <c r="B160" s="5" t="s">
        <v>226</v>
      </c>
      <c r="C160" s="5" t="s">
        <v>232</v>
      </c>
      <c r="D160" s="5" t="s">
        <v>187</v>
      </c>
      <c r="E160" s="18" t="str">
        <f t="shared" si="6"/>
        <v>Suchitepéquez, Chicacao, Guatemala</v>
      </c>
    </row>
    <row r="161" spans="1:5" hidden="1" x14ac:dyDescent="0.3">
      <c r="A161" s="5" t="s">
        <v>187</v>
      </c>
      <c r="B161" s="5" t="s">
        <v>226</v>
      </c>
      <c r="C161" s="5" t="s">
        <v>233</v>
      </c>
      <c r="D161" s="5" t="s">
        <v>187</v>
      </c>
      <c r="E161" s="18" t="str">
        <f t="shared" si="6"/>
        <v>Suchitepéquez, San José La Máquina, Guatemala</v>
      </c>
    </row>
    <row r="162" spans="1:5" hidden="1" x14ac:dyDescent="0.3">
      <c r="A162" s="5" t="s">
        <v>187</v>
      </c>
      <c r="B162" s="5" t="s">
        <v>226</v>
      </c>
      <c r="C162" s="5" t="s">
        <v>234</v>
      </c>
      <c r="D162" s="5" t="s">
        <v>187</v>
      </c>
      <c r="E162" s="18" t="str">
        <f t="shared" si="6"/>
        <v>Suchitepéquez, San Juan Bautista, Guatemala</v>
      </c>
    </row>
    <row r="163" spans="1:5" hidden="1" x14ac:dyDescent="0.3">
      <c r="A163" s="5" t="s">
        <v>187</v>
      </c>
      <c r="B163" s="5" t="s">
        <v>226</v>
      </c>
      <c r="C163" s="5" t="s">
        <v>235</v>
      </c>
      <c r="D163" s="5" t="s">
        <v>187</v>
      </c>
      <c r="E163" s="18" t="str">
        <f t="shared" si="6"/>
        <v>Suchitepéquez, Zunilito, Guatemala</v>
      </c>
    </row>
    <row r="164" spans="1:5" hidden="1" x14ac:dyDescent="0.3">
      <c r="A164" s="5" t="s">
        <v>187</v>
      </c>
      <c r="B164" s="5" t="s">
        <v>226</v>
      </c>
      <c r="C164" s="5" t="s">
        <v>236</v>
      </c>
      <c r="D164" s="5" t="s">
        <v>187</v>
      </c>
      <c r="E164" s="18" t="str">
        <f t="shared" si="6"/>
        <v>Suchitepéquez, San José el Ídolo, Guatemala</v>
      </c>
    </row>
    <row r="165" spans="1:5" hidden="1" x14ac:dyDescent="0.3">
      <c r="A165" s="5" t="s">
        <v>187</v>
      </c>
      <c r="B165" s="5" t="s">
        <v>226</v>
      </c>
      <c r="C165" s="5" t="s">
        <v>237</v>
      </c>
      <c r="D165" s="5" t="s">
        <v>187</v>
      </c>
      <c r="E165" s="18" t="str">
        <f t="shared" si="6"/>
        <v>Suchitepéquez, Santo Domingo Suchitepéquez, Guatemala</v>
      </c>
    </row>
    <row r="166" spans="1:5" hidden="1" x14ac:dyDescent="0.3">
      <c r="A166" s="5" t="s">
        <v>187</v>
      </c>
      <c r="B166" s="5" t="s">
        <v>226</v>
      </c>
      <c r="C166" s="5" t="s">
        <v>238</v>
      </c>
      <c r="D166" s="5" t="s">
        <v>187</v>
      </c>
      <c r="E166" s="18" t="str">
        <f t="shared" si="6"/>
        <v>Suchitepéquez, Patulul, Guatemala</v>
      </c>
    </row>
    <row r="167" spans="1:5" hidden="1" x14ac:dyDescent="0.3">
      <c r="A167" s="5" t="s">
        <v>187</v>
      </c>
      <c r="B167" s="5" t="s">
        <v>226</v>
      </c>
      <c r="C167" s="5" t="s">
        <v>239</v>
      </c>
      <c r="D167" s="5" t="s">
        <v>187</v>
      </c>
      <c r="E167" s="18" t="str">
        <f t="shared" si="6"/>
        <v>Suchitepéquez, San Bernardino, Guatemala</v>
      </c>
    </row>
    <row r="168" spans="1:5" hidden="1" x14ac:dyDescent="0.3">
      <c r="A168" s="5" t="s">
        <v>187</v>
      </c>
      <c r="B168" s="5" t="s">
        <v>226</v>
      </c>
      <c r="C168" s="5" t="s">
        <v>240</v>
      </c>
      <c r="D168" s="5" t="s">
        <v>187</v>
      </c>
      <c r="E168" s="18" t="str">
        <f t="shared" si="6"/>
        <v>Suchitepéquez, Samayac, Guatemala</v>
      </c>
    </row>
    <row r="169" spans="1:5" hidden="1" x14ac:dyDescent="0.3">
      <c r="A169" s="5" t="s">
        <v>187</v>
      </c>
      <c r="B169" s="5" t="s">
        <v>226</v>
      </c>
      <c r="C169" s="5" t="s">
        <v>241</v>
      </c>
      <c r="D169" s="5" t="s">
        <v>187</v>
      </c>
      <c r="E169" s="18" t="str">
        <f t="shared" si="6"/>
        <v>Suchitepéquez, Pueblo Nuevo, Guatemala</v>
      </c>
    </row>
    <row r="170" spans="1:5" hidden="1" x14ac:dyDescent="0.3">
      <c r="A170" s="5" t="s">
        <v>187</v>
      </c>
      <c r="B170" s="5" t="s">
        <v>226</v>
      </c>
      <c r="C170" s="5" t="s">
        <v>242</v>
      </c>
      <c r="D170" s="5" t="s">
        <v>187</v>
      </c>
      <c r="E170" s="18" t="str">
        <f t="shared" si="6"/>
        <v>Suchitepéquez, San Antonio Suchitepéquez, Guatemala</v>
      </c>
    </row>
    <row r="171" spans="1:5" hidden="1" x14ac:dyDescent="0.3">
      <c r="A171" s="5" t="s">
        <v>187</v>
      </c>
      <c r="B171" s="5" t="s">
        <v>226</v>
      </c>
      <c r="C171" s="5" t="s">
        <v>243</v>
      </c>
      <c r="D171" s="5" t="s">
        <v>187</v>
      </c>
      <c r="E171" s="18" t="str">
        <f t="shared" si="6"/>
        <v>Suchitepéquez, San Francisco Zapotitlán, Guatemala</v>
      </c>
    </row>
    <row r="172" spans="1:5" hidden="1" x14ac:dyDescent="0.3">
      <c r="A172" s="5" t="s">
        <v>187</v>
      </c>
      <c r="B172" s="5" t="s">
        <v>226</v>
      </c>
      <c r="C172" s="5" t="s">
        <v>244</v>
      </c>
      <c r="D172" s="5" t="s">
        <v>187</v>
      </c>
      <c r="E172" s="18" t="str">
        <f t="shared" si="6"/>
        <v>Suchitepéquez, San Gabriel, Guatemala</v>
      </c>
    </row>
    <row r="173" spans="1:5" hidden="1" x14ac:dyDescent="0.3">
      <c r="A173" s="5" t="s">
        <v>187</v>
      </c>
      <c r="B173" s="5" t="s">
        <v>226</v>
      </c>
      <c r="C173" s="5" t="s">
        <v>245</v>
      </c>
      <c r="D173" s="5" t="s">
        <v>187</v>
      </c>
      <c r="E173" s="18" t="str">
        <f t="shared" si="6"/>
        <v>Suchitepéquez, Cuyotenango, Guatemala</v>
      </c>
    </row>
    <row r="174" spans="1:5" hidden="1" x14ac:dyDescent="0.3">
      <c r="A174" s="5" t="s">
        <v>187</v>
      </c>
      <c r="B174" s="5" t="s">
        <v>226</v>
      </c>
      <c r="C174" s="5" t="s">
        <v>246</v>
      </c>
      <c r="D174" s="5" t="s">
        <v>187</v>
      </c>
      <c r="E174" s="18" t="str">
        <f t="shared" si="6"/>
        <v>Suchitepéquez, Santo Tomas la Unión, Guatemala</v>
      </c>
    </row>
    <row r="175" spans="1:5" hidden="1" x14ac:dyDescent="0.3">
      <c r="A175" s="5" t="s">
        <v>187</v>
      </c>
      <c r="B175" s="5" t="s">
        <v>226</v>
      </c>
      <c r="C175" s="5" t="s">
        <v>247</v>
      </c>
      <c r="D175" s="5" t="s">
        <v>187</v>
      </c>
      <c r="E175" s="18" t="str">
        <f t="shared" si="6"/>
        <v>Suchitepéquez, Mazatenango, Guatemala</v>
      </c>
    </row>
    <row r="176" spans="1:5" hidden="1" x14ac:dyDescent="0.3">
      <c r="A176" s="5" t="s">
        <v>248</v>
      </c>
      <c r="B176" s="5" t="s">
        <v>249</v>
      </c>
      <c r="C176" s="5" t="s">
        <v>250</v>
      </c>
      <c r="D176" s="5" t="s">
        <v>248</v>
      </c>
      <c r="E176" t="str">
        <f>B176&amp;", "&amp;C176&amp;", Guatemala"</f>
        <v>Quetzaltenango, San Francisco la Unión, Guatemala</v>
      </c>
    </row>
    <row r="177" spans="1:5" hidden="1" x14ac:dyDescent="0.3">
      <c r="A177" s="5" t="s">
        <v>248</v>
      </c>
      <c r="B177" s="5" t="s">
        <v>251</v>
      </c>
      <c r="C177" s="5" t="s">
        <v>252</v>
      </c>
      <c r="D177" s="5" t="s">
        <v>248</v>
      </c>
      <c r="E177" t="str">
        <f t="shared" ref="E177:E240" si="7">B177&amp;", "&amp;C177&amp;", Guatemala"</f>
        <v>Sololá, Santa Catarina Palopó, Guatemala</v>
      </c>
    </row>
    <row r="178" spans="1:5" hidden="1" x14ac:dyDescent="0.3">
      <c r="A178" s="5" t="s">
        <v>248</v>
      </c>
      <c r="B178" s="5" t="s">
        <v>253</v>
      </c>
      <c r="C178" s="5" t="s">
        <v>254</v>
      </c>
      <c r="D178" s="5" t="s">
        <v>248</v>
      </c>
      <c r="E178" t="str">
        <f t="shared" si="7"/>
        <v>Quiché, San Bartolomé Jocotenango, Guatemala</v>
      </c>
    </row>
    <row r="179" spans="1:5" hidden="1" x14ac:dyDescent="0.3">
      <c r="A179" s="5" t="s">
        <v>248</v>
      </c>
      <c r="B179" s="5" t="s">
        <v>249</v>
      </c>
      <c r="C179" s="5" t="s">
        <v>255</v>
      </c>
      <c r="D179" s="5" t="s">
        <v>248</v>
      </c>
      <c r="E179" t="str">
        <f t="shared" si="7"/>
        <v>Quetzaltenango, Almolonga, Guatemala</v>
      </c>
    </row>
    <row r="180" spans="1:5" hidden="1" x14ac:dyDescent="0.3">
      <c r="A180" s="5" t="s">
        <v>248</v>
      </c>
      <c r="B180" s="5" t="s">
        <v>256</v>
      </c>
      <c r="C180" s="5" t="s">
        <v>257</v>
      </c>
      <c r="D180" s="5" t="s">
        <v>248</v>
      </c>
      <c r="E180" t="str">
        <f t="shared" si="7"/>
        <v>Huehuetenango, Santiago Chimaltenango, Guatemala</v>
      </c>
    </row>
    <row r="181" spans="1:5" hidden="1" x14ac:dyDescent="0.3">
      <c r="A181" s="5" t="s">
        <v>248</v>
      </c>
      <c r="B181" s="5" t="s">
        <v>256</v>
      </c>
      <c r="C181" s="5" t="s">
        <v>258</v>
      </c>
      <c r="D181" s="5" t="s">
        <v>248</v>
      </c>
      <c r="E181" t="str">
        <f t="shared" si="7"/>
        <v>Huehuetenango, San Juan Atitán, Guatemala</v>
      </c>
    </row>
    <row r="182" spans="1:5" hidden="1" x14ac:dyDescent="0.3">
      <c r="A182" s="5" t="s">
        <v>248</v>
      </c>
      <c r="B182" s="5" t="s">
        <v>251</v>
      </c>
      <c r="C182" s="5" t="s">
        <v>259</v>
      </c>
      <c r="D182" s="5" t="s">
        <v>248</v>
      </c>
      <c r="E182" t="str">
        <f t="shared" si="7"/>
        <v>Sololá, Concepción, Guatemala</v>
      </c>
    </row>
    <row r="183" spans="1:5" hidden="1" x14ac:dyDescent="0.3">
      <c r="A183" s="5" t="s">
        <v>248</v>
      </c>
      <c r="B183" s="5" t="s">
        <v>251</v>
      </c>
      <c r="C183" s="5" t="s">
        <v>260</v>
      </c>
      <c r="D183" s="5" t="s">
        <v>248</v>
      </c>
      <c r="E183" t="str">
        <f t="shared" si="7"/>
        <v>Sololá, Santa Cruz la Laguna, Guatemala</v>
      </c>
    </row>
    <row r="184" spans="1:5" hidden="1" x14ac:dyDescent="0.3">
      <c r="A184" s="5" t="s">
        <v>248</v>
      </c>
      <c r="B184" s="5" t="s">
        <v>251</v>
      </c>
      <c r="C184" s="5" t="s">
        <v>261</v>
      </c>
      <c r="D184" s="5" t="s">
        <v>248</v>
      </c>
      <c r="E184" t="str">
        <f t="shared" si="7"/>
        <v>Sololá, San Antonio Palopó, Guatemala</v>
      </c>
    </row>
    <row r="185" spans="1:5" hidden="1" x14ac:dyDescent="0.3">
      <c r="A185" s="5" t="s">
        <v>248</v>
      </c>
      <c r="B185" s="5" t="s">
        <v>256</v>
      </c>
      <c r="C185" s="5" t="s">
        <v>262</v>
      </c>
      <c r="D185" s="5" t="s">
        <v>248</v>
      </c>
      <c r="E185" t="str">
        <f t="shared" si="7"/>
        <v>Huehuetenango, San Gaspar Ixchil, Guatemala</v>
      </c>
    </row>
    <row r="186" spans="1:5" hidden="1" x14ac:dyDescent="0.3">
      <c r="A186" s="5" t="s">
        <v>248</v>
      </c>
      <c r="B186" s="5" t="s">
        <v>263</v>
      </c>
      <c r="C186" s="5" t="s">
        <v>264</v>
      </c>
      <c r="D186" s="5" t="s">
        <v>248</v>
      </c>
      <c r="E186" t="str">
        <f t="shared" si="7"/>
        <v>San Marcos, Ocós, Guatemala</v>
      </c>
    </row>
    <row r="187" spans="1:5" hidden="1" x14ac:dyDescent="0.3">
      <c r="A187" s="5" t="s">
        <v>248</v>
      </c>
      <c r="B187" s="5" t="s">
        <v>265</v>
      </c>
      <c r="C187" s="5" t="s">
        <v>266</v>
      </c>
      <c r="D187" s="5" t="s">
        <v>248</v>
      </c>
      <c r="E187" t="str">
        <f t="shared" si="7"/>
        <v>Totonicapán, San Francisco el Alto, Guatemala</v>
      </c>
    </row>
    <row r="188" spans="1:5" hidden="1" x14ac:dyDescent="0.3">
      <c r="A188" s="5" t="s">
        <v>248</v>
      </c>
      <c r="B188" s="5" t="s">
        <v>265</v>
      </c>
      <c r="C188" s="5" t="s">
        <v>267</v>
      </c>
      <c r="D188" s="5" t="s">
        <v>248</v>
      </c>
      <c r="E188" t="str">
        <f t="shared" si="7"/>
        <v>Totonicapán, Santa María Chiquimula, Guatemala</v>
      </c>
    </row>
    <row r="189" spans="1:5" hidden="1" x14ac:dyDescent="0.3">
      <c r="A189" s="5" t="s">
        <v>248</v>
      </c>
      <c r="B189" s="5" t="s">
        <v>249</v>
      </c>
      <c r="C189" s="5" t="s">
        <v>268</v>
      </c>
      <c r="D189" s="5" t="s">
        <v>248</v>
      </c>
      <c r="E189" t="str">
        <f t="shared" si="7"/>
        <v>Quetzaltenango, Cajolá, Guatemala</v>
      </c>
    </row>
    <row r="190" spans="1:5" hidden="1" x14ac:dyDescent="0.3">
      <c r="A190" s="5" t="s">
        <v>248</v>
      </c>
      <c r="B190" s="5" t="s">
        <v>256</v>
      </c>
      <c r="C190" s="5" t="s">
        <v>227</v>
      </c>
      <c r="D190" s="5" t="s">
        <v>248</v>
      </c>
      <c r="E190" t="str">
        <f t="shared" si="7"/>
        <v>Huehuetenango, Santa Bárbara, Guatemala</v>
      </c>
    </row>
    <row r="191" spans="1:5" hidden="1" x14ac:dyDescent="0.3">
      <c r="A191" s="5" t="s">
        <v>248</v>
      </c>
      <c r="B191" s="5" t="s">
        <v>263</v>
      </c>
      <c r="C191" s="5" t="s">
        <v>269</v>
      </c>
      <c r="D191" s="5" t="s">
        <v>248</v>
      </c>
      <c r="E191" t="str">
        <f t="shared" si="7"/>
        <v>San Marcos, El Quetzal, Guatemala</v>
      </c>
    </row>
    <row r="192" spans="1:5" hidden="1" x14ac:dyDescent="0.3">
      <c r="A192" s="5" t="s">
        <v>248</v>
      </c>
      <c r="B192" s="5" t="s">
        <v>253</v>
      </c>
      <c r="C192" s="5" t="s">
        <v>270</v>
      </c>
      <c r="D192" s="5" t="s">
        <v>248</v>
      </c>
      <c r="E192" t="str">
        <f t="shared" si="7"/>
        <v>Quiché, Patzité, Guatemala</v>
      </c>
    </row>
    <row r="193" spans="1:5" hidden="1" x14ac:dyDescent="0.3">
      <c r="A193" s="5" t="s">
        <v>248</v>
      </c>
      <c r="B193" s="5" t="s">
        <v>265</v>
      </c>
      <c r="C193" s="5" t="s">
        <v>271</v>
      </c>
      <c r="D193" s="5" t="s">
        <v>248</v>
      </c>
      <c r="E193" t="str">
        <f t="shared" si="7"/>
        <v>Totonicapán, San Andrés Xecul, Guatemala</v>
      </c>
    </row>
    <row r="194" spans="1:5" hidden="1" x14ac:dyDescent="0.3">
      <c r="A194" s="5" t="s">
        <v>248</v>
      </c>
      <c r="B194" s="5" t="s">
        <v>256</v>
      </c>
      <c r="C194" s="5" t="s">
        <v>272</v>
      </c>
      <c r="D194" s="5" t="s">
        <v>248</v>
      </c>
      <c r="E194" t="str">
        <f t="shared" si="7"/>
        <v>Huehuetenango, San Mateo Ixtatán, Guatemala</v>
      </c>
    </row>
    <row r="195" spans="1:5" hidden="1" x14ac:dyDescent="0.3">
      <c r="A195" s="5" t="s">
        <v>248</v>
      </c>
      <c r="B195" s="5" t="s">
        <v>253</v>
      </c>
      <c r="C195" s="5" t="s">
        <v>273</v>
      </c>
      <c r="D195" s="5" t="s">
        <v>248</v>
      </c>
      <c r="E195" t="str">
        <f t="shared" si="7"/>
        <v>Quiché, Santo Tomás Chichicastenango, Guatemala</v>
      </c>
    </row>
    <row r="196" spans="1:5" hidden="1" x14ac:dyDescent="0.3">
      <c r="A196" s="5" t="s">
        <v>248</v>
      </c>
      <c r="B196" s="5" t="s">
        <v>249</v>
      </c>
      <c r="C196" s="5" t="s">
        <v>274</v>
      </c>
      <c r="D196" s="5" t="s">
        <v>248</v>
      </c>
      <c r="E196" t="str">
        <f t="shared" si="7"/>
        <v>Quetzaltenango, Zunil, Guatemala</v>
      </c>
    </row>
    <row r="197" spans="1:5" hidden="1" x14ac:dyDescent="0.3">
      <c r="A197" s="5" t="s">
        <v>248</v>
      </c>
      <c r="B197" s="5" t="s">
        <v>251</v>
      </c>
      <c r="C197" s="5" t="s">
        <v>275</v>
      </c>
      <c r="D197" s="5" t="s">
        <v>248</v>
      </c>
      <c r="E197" t="str">
        <f t="shared" si="7"/>
        <v>Sololá, Santiago Atitlán, Guatemala</v>
      </c>
    </row>
    <row r="198" spans="1:5" hidden="1" x14ac:dyDescent="0.3">
      <c r="A198" s="5" t="s">
        <v>248</v>
      </c>
      <c r="B198" s="5" t="s">
        <v>263</v>
      </c>
      <c r="C198" s="5" t="s">
        <v>276</v>
      </c>
      <c r="D198" s="5" t="s">
        <v>248</v>
      </c>
      <c r="E198" t="str">
        <f t="shared" si="7"/>
        <v>San Marcos, La Blanca, Guatemala</v>
      </c>
    </row>
    <row r="199" spans="1:5" hidden="1" x14ac:dyDescent="0.3">
      <c r="A199" s="5" t="s">
        <v>248</v>
      </c>
      <c r="B199" s="5" t="s">
        <v>249</v>
      </c>
      <c r="C199" s="5" t="s">
        <v>277</v>
      </c>
      <c r="D199" s="5" t="s">
        <v>248</v>
      </c>
      <c r="E199" t="str">
        <f t="shared" si="7"/>
        <v>Quetzaltenango, San Miguel Siguilá, Guatemala</v>
      </c>
    </row>
    <row r="200" spans="1:5" hidden="1" x14ac:dyDescent="0.3">
      <c r="A200" s="5" t="s">
        <v>248</v>
      </c>
      <c r="B200" s="5" t="s">
        <v>263</v>
      </c>
      <c r="C200" s="5" t="s">
        <v>278</v>
      </c>
      <c r="D200" s="5" t="s">
        <v>248</v>
      </c>
      <c r="E200" t="str">
        <f t="shared" si="7"/>
        <v>San Marcos, San José Ojetenam, Guatemala</v>
      </c>
    </row>
    <row r="201" spans="1:5" hidden="1" x14ac:dyDescent="0.3">
      <c r="A201" s="5" t="s">
        <v>248</v>
      </c>
      <c r="B201" s="5" t="s">
        <v>253</v>
      </c>
      <c r="C201" s="5" t="s">
        <v>279</v>
      </c>
      <c r="D201" s="5" t="s">
        <v>248</v>
      </c>
      <c r="E201" t="str">
        <f t="shared" si="7"/>
        <v>Quiché, Chajul, Guatemala</v>
      </c>
    </row>
    <row r="202" spans="1:5" hidden="1" x14ac:dyDescent="0.3">
      <c r="A202" s="5" t="s">
        <v>248</v>
      </c>
      <c r="B202" s="5" t="s">
        <v>251</v>
      </c>
      <c r="C202" s="5" t="s">
        <v>280</v>
      </c>
      <c r="D202" s="5" t="s">
        <v>248</v>
      </c>
      <c r="E202" t="str">
        <f t="shared" si="7"/>
        <v>Sololá, Santa Catarina Ixtahuacán, Guatemala</v>
      </c>
    </row>
    <row r="203" spans="1:5" hidden="1" x14ac:dyDescent="0.3">
      <c r="A203" s="5" t="s">
        <v>248</v>
      </c>
      <c r="B203" s="5" t="s">
        <v>256</v>
      </c>
      <c r="C203" s="5" t="s">
        <v>198</v>
      </c>
      <c r="D203" s="5" t="s">
        <v>248</v>
      </c>
      <c r="E203" t="str">
        <f t="shared" si="7"/>
        <v>Huehuetenango, La Democracia, Guatemala</v>
      </c>
    </row>
    <row r="204" spans="1:5" hidden="1" x14ac:dyDescent="0.3">
      <c r="A204" s="5" t="s">
        <v>248</v>
      </c>
      <c r="B204" s="5" t="s">
        <v>251</v>
      </c>
      <c r="C204" s="5" t="s">
        <v>281</v>
      </c>
      <c r="D204" s="5" t="s">
        <v>248</v>
      </c>
      <c r="E204" t="str">
        <f t="shared" si="7"/>
        <v>Sololá, Nahualá, Guatemala</v>
      </c>
    </row>
    <row r="205" spans="1:5" hidden="1" x14ac:dyDescent="0.3">
      <c r="A205" s="5" t="s">
        <v>248</v>
      </c>
      <c r="B205" s="5" t="s">
        <v>263</v>
      </c>
      <c r="C205" s="5" t="s">
        <v>282</v>
      </c>
      <c r="D205" s="5" t="s">
        <v>248</v>
      </c>
      <c r="E205" t="str">
        <f t="shared" si="7"/>
        <v>San Marcos, San Cristóbal Cucho, Guatemala</v>
      </c>
    </row>
    <row r="206" spans="1:5" hidden="1" x14ac:dyDescent="0.3">
      <c r="A206" s="5" t="s">
        <v>248</v>
      </c>
      <c r="B206" s="5" t="s">
        <v>249</v>
      </c>
      <c r="C206" s="5" t="s">
        <v>283</v>
      </c>
      <c r="D206" s="5" t="s">
        <v>248</v>
      </c>
      <c r="E206" t="str">
        <f t="shared" si="7"/>
        <v>Quetzaltenango, San Martín Sacatepéquez, Guatemala</v>
      </c>
    </row>
    <row r="207" spans="1:5" hidden="1" x14ac:dyDescent="0.3">
      <c r="A207" s="5" t="s">
        <v>248</v>
      </c>
      <c r="B207" s="5" t="s">
        <v>249</v>
      </c>
      <c r="C207" s="5" t="s">
        <v>284</v>
      </c>
      <c r="D207" s="5" t="s">
        <v>248</v>
      </c>
      <c r="E207" t="str">
        <f t="shared" si="7"/>
        <v>Quetzaltenango, Colomba Costa Cuca, Guatemala</v>
      </c>
    </row>
    <row r="208" spans="1:5" hidden="1" x14ac:dyDescent="0.3">
      <c r="A208" s="5" t="s">
        <v>248</v>
      </c>
      <c r="B208" s="5" t="s">
        <v>256</v>
      </c>
      <c r="C208" s="5" t="s">
        <v>285</v>
      </c>
      <c r="D208" s="5" t="s">
        <v>248</v>
      </c>
      <c r="E208" t="str">
        <f t="shared" si="7"/>
        <v>Huehuetenango, Nentón, Guatemala</v>
      </c>
    </row>
    <row r="209" spans="1:5" hidden="1" x14ac:dyDescent="0.3">
      <c r="A209" s="5" t="s">
        <v>248</v>
      </c>
      <c r="B209" s="5" t="s">
        <v>256</v>
      </c>
      <c r="C209" s="5" t="s">
        <v>286</v>
      </c>
      <c r="D209" s="5" t="s">
        <v>248</v>
      </c>
      <c r="E209" t="str">
        <f t="shared" si="7"/>
        <v>Huehuetenango, San Miguel Acatán, Guatemala</v>
      </c>
    </row>
    <row r="210" spans="1:5" hidden="1" x14ac:dyDescent="0.3">
      <c r="A210" s="5" t="s">
        <v>248</v>
      </c>
      <c r="B210" s="5" t="s">
        <v>253</v>
      </c>
      <c r="C210" s="5" t="s">
        <v>287</v>
      </c>
      <c r="D210" s="5" t="s">
        <v>248</v>
      </c>
      <c r="E210" t="str">
        <f t="shared" si="7"/>
        <v>Quiché, San Antonio Ilotenango, Guatemala</v>
      </c>
    </row>
    <row r="211" spans="1:5" hidden="1" x14ac:dyDescent="0.3">
      <c r="A211" s="5" t="s">
        <v>248</v>
      </c>
      <c r="B211" s="5" t="s">
        <v>288</v>
      </c>
      <c r="C211" s="5" t="s">
        <v>289</v>
      </c>
      <c r="D211" s="5" t="s">
        <v>248</v>
      </c>
      <c r="E211" t="str">
        <f t="shared" si="7"/>
        <v>Chimaltenango, San Pedro Yepocapa, Guatemala</v>
      </c>
    </row>
    <row r="212" spans="1:5" hidden="1" x14ac:dyDescent="0.3">
      <c r="A212" s="5" t="s">
        <v>248</v>
      </c>
      <c r="B212" s="5" t="s">
        <v>256</v>
      </c>
      <c r="C212" s="5" t="s">
        <v>290</v>
      </c>
      <c r="D212" s="5" t="s">
        <v>248</v>
      </c>
      <c r="E212" t="str">
        <f t="shared" si="7"/>
        <v>Huehuetenango, La Libertad, Guatemala</v>
      </c>
    </row>
    <row r="213" spans="1:5" hidden="1" x14ac:dyDescent="0.3">
      <c r="A213" s="5" t="s">
        <v>248</v>
      </c>
      <c r="B213" s="5" t="s">
        <v>263</v>
      </c>
      <c r="C213" s="5" t="s">
        <v>291</v>
      </c>
      <c r="D213" s="5" t="s">
        <v>248</v>
      </c>
      <c r="E213" t="str">
        <f t="shared" si="7"/>
        <v>San Marcos, Ayutla, Guatemala</v>
      </c>
    </row>
    <row r="214" spans="1:5" hidden="1" x14ac:dyDescent="0.3">
      <c r="A214" s="5" t="s">
        <v>248</v>
      </c>
      <c r="B214" s="5" t="s">
        <v>251</v>
      </c>
      <c r="C214" s="5" t="s">
        <v>251</v>
      </c>
      <c r="D214" s="5" t="s">
        <v>248</v>
      </c>
      <c r="E214" t="str">
        <f t="shared" si="7"/>
        <v>Sololá, Sololá, Guatemala</v>
      </c>
    </row>
    <row r="215" spans="1:5" hidden="1" x14ac:dyDescent="0.3">
      <c r="A215" s="5" t="s">
        <v>248</v>
      </c>
      <c r="B215" s="5" t="s">
        <v>249</v>
      </c>
      <c r="C215" s="5" t="s">
        <v>292</v>
      </c>
      <c r="D215" s="5" t="s">
        <v>248</v>
      </c>
      <c r="E215" t="str">
        <f t="shared" si="7"/>
        <v>Quetzaltenango, Palestina de los Altos, Guatemala</v>
      </c>
    </row>
    <row r="216" spans="1:5" hidden="1" x14ac:dyDescent="0.3">
      <c r="A216" s="5" t="s">
        <v>248</v>
      </c>
      <c r="B216" s="5" t="s">
        <v>263</v>
      </c>
      <c r="C216" s="5" t="s">
        <v>293</v>
      </c>
      <c r="D216" s="5" t="s">
        <v>248</v>
      </c>
      <c r="E216" t="str">
        <f t="shared" si="7"/>
        <v>San Marcos, Sibinal, Guatemala</v>
      </c>
    </row>
    <row r="217" spans="1:5" hidden="1" x14ac:dyDescent="0.3">
      <c r="A217" s="5" t="s">
        <v>248</v>
      </c>
      <c r="B217" s="5" t="s">
        <v>263</v>
      </c>
      <c r="C217" s="5" t="s">
        <v>294</v>
      </c>
      <c r="D217" s="5" t="s">
        <v>248</v>
      </c>
      <c r="E217" t="str">
        <f t="shared" si="7"/>
        <v>San Marcos, La Reforma, Guatemala</v>
      </c>
    </row>
    <row r="218" spans="1:5" hidden="1" x14ac:dyDescent="0.3">
      <c r="A218" s="5" t="s">
        <v>248</v>
      </c>
      <c r="B218" s="5" t="s">
        <v>249</v>
      </c>
      <c r="C218" s="5" t="s">
        <v>295</v>
      </c>
      <c r="D218" s="5" t="s">
        <v>248</v>
      </c>
      <c r="E218" t="str">
        <f t="shared" si="7"/>
        <v>Quetzaltenango, Flores Costa Cuca, Guatemala</v>
      </c>
    </row>
    <row r="219" spans="1:5" hidden="1" x14ac:dyDescent="0.3">
      <c r="A219" s="5" t="s">
        <v>248</v>
      </c>
      <c r="B219" s="5" t="s">
        <v>256</v>
      </c>
      <c r="C219" s="5" t="s">
        <v>296</v>
      </c>
      <c r="D219" s="5" t="s">
        <v>248</v>
      </c>
      <c r="E219" t="str">
        <f t="shared" si="7"/>
        <v>Huehuetenango, Unión Cantinil, Guatemala</v>
      </c>
    </row>
    <row r="220" spans="1:5" hidden="1" x14ac:dyDescent="0.3">
      <c r="A220" s="5" t="s">
        <v>248</v>
      </c>
      <c r="B220" s="5" t="s">
        <v>265</v>
      </c>
      <c r="C220" s="5" t="s">
        <v>297</v>
      </c>
      <c r="D220" s="5" t="s">
        <v>248</v>
      </c>
      <c r="E220" t="str">
        <f t="shared" si="7"/>
        <v>Totonicapán, Santa Lucía la Reforma, Guatemala</v>
      </c>
    </row>
    <row r="221" spans="1:5" hidden="1" x14ac:dyDescent="0.3">
      <c r="A221" s="5" t="s">
        <v>248</v>
      </c>
      <c r="B221" s="5" t="s">
        <v>256</v>
      </c>
      <c r="C221" s="5" t="s">
        <v>298</v>
      </c>
      <c r="D221" s="5" t="s">
        <v>248</v>
      </c>
      <c r="E221" t="str">
        <f t="shared" si="7"/>
        <v>Huehuetenango, Colotenango, Guatemala</v>
      </c>
    </row>
    <row r="222" spans="1:5" hidden="1" x14ac:dyDescent="0.3">
      <c r="A222" s="5" t="s">
        <v>248</v>
      </c>
      <c r="B222" s="5" t="s">
        <v>256</v>
      </c>
      <c r="C222" s="5" t="s">
        <v>299</v>
      </c>
      <c r="D222" s="5" t="s">
        <v>248</v>
      </c>
      <c r="E222" t="str">
        <f t="shared" si="7"/>
        <v>Huehuetenango, San Rafael Petzal, Guatemala</v>
      </c>
    </row>
    <row r="223" spans="1:5" hidden="1" x14ac:dyDescent="0.3">
      <c r="A223" s="5" t="s">
        <v>248</v>
      </c>
      <c r="B223" s="5" t="s">
        <v>288</v>
      </c>
      <c r="C223" s="5" t="s">
        <v>300</v>
      </c>
      <c r="D223" s="5" t="s">
        <v>248</v>
      </c>
      <c r="E223" t="str">
        <f t="shared" si="7"/>
        <v>Chimaltenango, Acatenango, Guatemala</v>
      </c>
    </row>
    <row r="224" spans="1:5" hidden="1" x14ac:dyDescent="0.3">
      <c r="A224" s="5" t="s">
        <v>248</v>
      </c>
      <c r="B224" s="5" t="s">
        <v>263</v>
      </c>
      <c r="C224" s="5" t="s">
        <v>301</v>
      </c>
      <c r="D224" s="5" t="s">
        <v>248</v>
      </c>
      <c r="E224" t="str">
        <f t="shared" si="7"/>
        <v>San Marcos, El Tumbador, Guatemala</v>
      </c>
    </row>
    <row r="225" spans="1:5" hidden="1" x14ac:dyDescent="0.3">
      <c r="A225" s="5" t="s">
        <v>248</v>
      </c>
      <c r="B225" s="5" t="s">
        <v>251</v>
      </c>
      <c r="C225" s="5" t="s">
        <v>302</v>
      </c>
      <c r="D225" s="5" t="s">
        <v>248</v>
      </c>
      <c r="E225" t="str">
        <f t="shared" si="7"/>
        <v>Sololá, San Pablo la Laguna, Guatemala</v>
      </c>
    </row>
    <row r="226" spans="1:5" hidden="1" x14ac:dyDescent="0.3">
      <c r="A226" s="5" t="s">
        <v>248</v>
      </c>
      <c r="B226" s="5" t="s">
        <v>256</v>
      </c>
      <c r="C226" s="5" t="s">
        <v>303</v>
      </c>
      <c r="D226" s="5" t="s">
        <v>248</v>
      </c>
      <c r="E226" t="str">
        <f t="shared" si="7"/>
        <v>Huehuetenango, Concepción Huista, Guatemala</v>
      </c>
    </row>
    <row r="227" spans="1:5" hidden="1" x14ac:dyDescent="0.3">
      <c r="A227" s="5" t="s">
        <v>248</v>
      </c>
      <c r="B227" s="5" t="s">
        <v>263</v>
      </c>
      <c r="C227" s="5" t="s">
        <v>304</v>
      </c>
      <c r="D227" s="5" t="s">
        <v>248</v>
      </c>
      <c r="E227" t="str">
        <f t="shared" si="7"/>
        <v>San Marcos, San Pablo, Guatemala</v>
      </c>
    </row>
    <row r="228" spans="1:5" hidden="1" x14ac:dyDescent="0.3">
      <c r="A228" s="5" t="s">
        <v>248</v>
      </c>
      <c r="B228" s="5" t="s">
        <v>249</v>
      </c>
      <c r="C228" s="5" t="s">
        <v>305</v>
      </c>
      <c r="D228" s="5" t="s">
        <v>248</v>
      </c>
      <c r="E228" t="str">
        <f t="shared" si="7"/>
        <v>Quetzaltenango, Concepción Chiquirichapa, Guatemala</v>
      </c>
    </row>
    <row r="229" spans="1:5" hidden="1" x14ac:dyDescent="0.3">
      <c r="A229" s="5" t="s">
        <v>248</v>
      </c>
      <c r="B229" s="5" t="s">
        <v>253</v>
      </c>
      <c r="C229" s="5" t="s">
        <v>306</v>
      </c>
      <c r="D229" s="5" t="s">
        <v>248</v>
      </c>
      <c r="E229" t="str">
        <f t="shared" si="7"/>
        <v>Quiché, San Juan Cotzal, Guatemala</v>
      </c>
    </row>
    <row r="230" spans="1:5" hidden="1" x14ac:dyDescent="0.3">
      <c r="A230" s="5" t="s">
        <v>248</v>
      </c>
      <c r="B230" s="5" t="s">
        <v>263</v>
      </c>
      <c r="C230" s="5" t="s">
        <v>307</v>
      </c>
      <c r="D230" s="5" t="s">
        <v>248</v>
      </c>
      <c r="E230" t="str">
        <f t="shared" si="7"/>
        <v>San Marcos, Esquipulas Palo Gordo, Guatemala</v>
      </c>
    </row>
    <row r="231" spans="1:5" hidden="1" x14ac:dyDescent="0.3">
      <c r="A231" s="5" t="s">
        <v>248</v>
      </c>
      <c r="B231" s="5" t="s">
        <v>253</v>
      </c>
      <c r="C231" s="5" t="s">
        <v>308</v>
      </c>
      <c r="D231" s="5" t="s">
        <v>248</v>
      </c>
      <c r="E231" t="str">
        <f t="shared" si="7"/>
        <v>Quiché, Canillá, Guatemala</v>
      </c>
    </row>
    <row r="232" spans="1:5" hidden="1" x14ac:dyDescent="0.3">
      <c r="A232" s="5" t="s">
        <v>248</v>
      </c>
      <c r="B232" s="5" t="s">
        <v>288</v>
      </c>
      <c r="C232" s="5" t="s">
        <v>309</v>
      </c>
      <c r="D232" s="5" t="s">
        <v>248</v>
      </c>
      <c r="E232" t="str">
        <f t="shared" si="7"/>
        <v>Chimaltenango, San José Poaquil, Guatemala</v>
      </c>
    </row>
    <row r="233" spans="1:5" hidden="1" x14ac:dyDescent="0.3">
      <c r="A233" s="5" t="s">
        <v>248</v>
      </c>
      <c r="B233" s="5" t="s">
        <v>249</v>
      </c>
      <c r="C233" s="5" t="s">
        <v>310</v>
      </c>
      <c r="D233" s="5" t="s">
        <v>248</v>
      </c>
      <c r="E233" t="str">
        <f t="shared" si="7"/>
        <v>Quetzaltenango, El Palmar, Guatemala</v>
      </c>
    </row>
    <row r="234" spans="1:5" hidden="1" x14ac:dyDescent="0.3">
      <c r="A234" s="5" t="s">
        <v>248</v>
      </c>
      <c r="B234" s="5" t="s">
        <v>256</v>
      </c>
      <c r="C234" s="5" t="s">
        <v>311</v>
      </c>
      <c r="D234" s="5" t="s">
        <v>248</v>
      </c>
      <c r="E234" t="str">
        <f t="shared" si="7"/>
        <v>Huehuetenango, Petatán, Guatemala</v>
      </c>
    </row>
    <row r="235" spans="1:5" hidden="1" x14ac:dyDescent="0.3">
      <c r="A235" s="5" t="s">
        <v>248</v>
      </c>
      <c r="B235" s="5" t="s">
        <v>253</v>
      </c>
      <c r="C235" s="5" t="s">
        <v>312</v>
      </c>
      <c r="D235" s="5" t="s">
        <v>248</v>
      </c>
      <c r="E235" t="str">
        <f t="shared" si="7"/>
        <v>Quiché, Zacualpa, Guatemala</v>
      </c>
    </row>
    <row r="236" spans="1:5" hidden="1" x14ac:dyDescent="0.3">
      <c r="A236" s="5" t="s">
        <v>248</v>
      </c>
      <c r="B236" s="5" t="s">
        <v>249</v>
      </c>
      <c r="C236" s="5" t="s">
        <v>313</v>
      </c>
      <c r="D236" s="5" t="s">
        <v>248</v>
      </c>
      <c r="E236" t="str">
        <f t="shared" si="7"/>
        <v>Quetzaltenango, San Carlos Sija, Guatemala</v>
      </c>
    </row>
    <row r="237" spans="1:5" hidden="1" x14ac:dyDescent="0.3">
      <c r="A237" s="5" t="s">
        <v>248</v>
      </c>
      <c r="B237" s="5" t="s">
        <v>256</v>
      </c>
      <c r="C237" s="5" t="s">
        <v>314</v>
      </c>
      <c r="D237" s="5" t="s">
        <v>248</v>
      </c>
      <c r="E237" t="str">
        <f t="shared" si="7"/>
        <v>Huehuetenango, San Pedro Soloma, Guatemala</v>
      </c>
    </row>
    <row r="238" spans="1:5" hidden="1" x14ac:dyDescent="0.3">
      <c r="A238" s="5" t="s">
        <v>248</v>
      </c>
      <c r="B238" s="5" t="s">
        <v>251</v>
      </c>
      <c r="C238" s="5" t="s">
        <v>315</v>
      </c>
      <c r="D238" s="5" t="s">
        <v>248</v>
      </c>
      <c r="E238" t="str">
        <f t="shared" si="7"/>
        <v>Sololá, San José Chacayá, Guatemala</v>
      </c>
    </row>
    <row r="239" spans="1:5" hidden="1" x14ac:dyDescent="0.3">
      <c r="A239" s="5" t="s">
        <v>248</v>
      </c>
      <c r="B239" s="5" t="s">
        <v>251</v>
      </c>
      <c r="C239" s="5" t="s">
        <v>316</v>
      </c>
      <c r="D239" s="5" t="s">
        <v>248</v>
      </c>
      <c r="E239" t="str">
        <f t="shared" si="7"/>
        <v>Sololá, San Lucas Tolimán, Guatemala</v>
      </c>
    </row>
    <row r="240" spans="1:5" hidden="1" x14ac:dyDescent="0.3">
      <c r="A240" s="5" t="s">
        <v>248</v>
      </c>
      <c r="B240" s="5" t="s">
        <v>249</v>
      </c>
      <c r="C240" s="5" t="s">
        <v>317</v>
      </c>
      <c r="D240" s="5" t="s">
        <v>248</v>
      </c>
      <c r="E240" t="str">
        <f t="shared" si="7"/>
        <v>Quetzaltenango, Génova, Guatemala</v>
      </c>
    </row>
    <row r="241" spans="1:5" hidden="1" x14ac:dyDescent="0.3">
      <c r="A241" s="5" t="s">
        <v>248</v>
      </c>
      <c r="B241" s="5" t="s">
        <v>249</v>
      </c>
      <c r="C241" s="5" t="s">
        <v>318</v>
      </c>
      <c r="D241" s="5" t="s">
        <v>248</v>
      </c>
      <c r="E241" t="str">
        <f t="shared" ref="E241:E304" si="8">B241&amp;", "&amp;C241&amp;", Guatemala"</f>
        <v>Quetzaltenango, Cabricán, Guatemala</v>
      </c>
    </row>
    <row r="242" spans="1:5" hidden="1" x14ac:dyDescent="0.3">
      <c r="A242" s="5" t="s">
        <v>248</v>
      </c>
      <c r="B242" s="5" t="s">
        <v>253</v>
      </c>
      <c r="C242" s="5" t="s">
        <v>319</v>
      </c>
      <c r="D242" s="5" t="s">
        <v>248</v>
      </c>
      <c r="E242" t="str">
        <f t="shared" si="8"/>
        <v>Quiché, Sacapulas, Guatemala</v>
      </c>
    </row>
    <row r="243" spans="1:5" hidden="1" x14ac:dyDescent="0.3">
      <c r="A243" s="5" t="s">
        <v>248</v>
      </c>
      <c r="B243" s="5" t="s">
        <v>265</v>
      </c>
      <c r="C243" s="5" t="s">
        <v>320</v>
      </c>
      <c r="D243" s="5" t="s">
        <v>248</v>
      </c>
      <c r="E243" t="str">
        <f t="shared" si="8"/>
        <v>Totonicapán, San Bartolo Aguas Calientes, Guatemala</v>
      </c>
    </row>
    <row r="244" spans="1:5" hidden="1" x14ac:dyDescent="0.3">
      <c r="A244" s="5" t="s">
        <v>248</v>
      </c>
      <c r="B244" s="5" t="s">
        <v>288</v>
      </c>
      <c r="C244" s="5" t="s">
        <v>321</v>
      </c>
      <c r="D244" s="5" t="s">
        <v>248</v>
      </c>
      <c r="E244" t="str">
        <f t="shared" si="8"/>
        <v>Chimaltenango, Patzicía, Guatemala</v>
      </c>
    </row>
    <row r="245" spans="1:5" hidden="1" x14ac:dyDescent="0.3">
      <c r="A245" s="5" t="s">
        <v>248</v>
      </c>
      <c r="B245" s="5" t="s">
        <v>249</v>
      </c>
      <c r="C245" s="5" t="s">
        <v>322</v>
      </c>
      <c r="D245" s="5" t="s">
        <v>248</v>
      </c>
      <c r="E245" t="str">
        <f t="shared" si="8"/>
        <v>Quetzaltenango, Sibilia, Guatemala</v>
      </c>
    </row>
    <row r="246" spans="1:5" hidden="1" x14ac:dyDescent="0.3">
      <c r="A246" s="5" t="s">
        <v>248</v>
      </c>
      <c r="B246" s="5" t="s">
        <v>288</v>
      </c>
      <c r="C246" s="5" t="s">
        <v>323</v>
      </c>
      <c r="D246" s="5" t="s">
        <v>248</v>
      </c>
      <c r="E246" t="str">
        <f t="shared" si="8"/>
        <v>Chimaltenango, San Miguel Pochuta, Guatemala</v>
      </c>
    </row>
    <row r="247" spans="1:5" hidden="1" x14ac:dyDescent="0.3">
      <c r="A247" s="5" t="s">
        <v>248</v>
      </c>
      <c r="B247" s="5" t="s">
        <v>288</v>
      </c>
      <c r="C247" s="5" t="s">
        <v>324</v>
      </c>
      <c r="D247" s="5" t="s">
        <v>248</v>
      </c>
      <c r="E247" t="str">
        <f t="shared" si="8"/>
        <v>Chimaltenango, Parramos, Guatemala</v>
      </c>
    </row>
    <row r="248" spans="1:5" hidden="1" x14ac:dyDescent="0.3">
      <c r="A248" s="5" t="s">
        <v>248</v>
      </c>
      <c r="B248" s="5" t="s">
        <v>263</v>
      </c>
      <c r="C248" s="5" t="s">
        <v>325</v>
      </c>
      <c r="D248" s="5" t="s">
        <v>248</v>
      </c>
      <c r="E248" t="str">
        <f t="shared" si="8"/>
        <v>San Marcos, Tajumulco, Guatemala</v>
      </c>
    </row>
    <row r="249" spans="1:5" hidden="1" x14ac:dyDescent="0.3">
      <c r="A249" s="5" t="s">
        <v>248</v>
      </c>
      <c r="B249" s="5" t="s">
        <v>256</v>
      </c>
      <c r="C249" s="5" t="s">
        <v>326</v>
      </c>
      <c r="D249" s="5" t="s">
        <v>248</v>
      </c>
      <c r="E249" t="str">
        <f t="shared" si="8"/>
        <v>Huehuetenango, San Rafael La Independencia, Guatemala</v>
      </c>
    </row>
    <row r="250" spans="1:5" hidden="1" x14ac:dyDescent="0.3">
      <c r="A250" s="5" t="s">
        <v>248</v>
      </c>
      <c r="B250" s="5" t="s">
        <v>251</v>
      </c>
      <c r="C250" s="5" t="s">
        <v>327</v>
      </c>
      <c r="D250" s="5" t="s">
        <v>248</v>
      </c>
      <c r="E250" t="str">
        <f t="shared" si="8"/>
        <v>Sololá, San Marcos la Laguna, Guatemala</v>
      </c>
    </row>
    <row r="251" spans="1:5" hidden="1" x14ac:dyDescent="0.3">
      <c r="A251" s="5" t="s">
        <v>248</v>
      </c>
      <c r="B251" s="5" t="s">
        <v>249</v>
      </c>
      <c r="C251" s="5" t="s">
        <v>328</v>
      </c>
      <c r="D251" s="5" t="s">
        <v>248</v>
      </c>
      <c r="E251" t="str">
        <f t="shared" si="8"/>
        <v>Quetzaltenango, Cantel, Guatemala</v>
      </c>
    </row>
    <row r="252" spans="1:5" hidden="1" x14ac:dyDescent="0.3">
      <c r="A252" s="5" t="s">
        <v>248</v>
      </c>
      <c r="B252" s="5" t="s">
        <v>249</v>
      </c>
      <c r="C252" s="5" t="s">
        <v>329</v>
      </c>
      <c r="D252" s="5" t="s">
        <v>248</v>
      </c>
      <c r="E252" t="str">
        <f t="shared" si="8"/>
        <v>Quetzaltenango, Huitán, Guatemala</v>
      </c>
    </row>
    <row r="253" spans="1:5" hidden="1" x14ac:dyDescent="0.3">
      <c r="A253" s="5" t="s">
        <v>248</v>
      </c>
      <c r="B253" s="5" t="s">
        <v>263</v>
      </c>
      <c r="C253" s="5" t="s">
        <v>330</v>
      </c>
      <c r="D253" s="5" t="s">
        <v>248</v>
      </c>
      <c r="E253" t="str">
        <f t="shared" si="8"/>
        <v>San Marcos, San José el Rodeo, Guatemala</v>
      </c>
    </row>
    <row r="254" spans="1:5" hidden="1" x14ac:dyDescent="0.3">
      <c r="A254" s="5" t="s">
        <v>248</v>
      </c>
      <c r="B254" s="5" t="s">
        <v>288</v>
      </c>
      <c r="C254" s="5" t="s">
        <v>331</v>
      </c>
      <c r="D254" s="5" t="s">
        <v>248</v>
      </c>
      <c r="E254" t="str">
        <f t="shared" si="8"/>
        <v>Chimaltenango, Tecpán Guatemala, Guatemala</v>
      </c>
    </row>
    <row r="255" spans="1:5" hidden="1" x14ac:dyDescent="0.3">
      <c r="A255" s="5" t="s">
        <v>248</v>
      </c>
      <c r="B255" s="5" t="s">
        <v>288</v>
      </c>
      <c r="C255" s="5" t="s">
        <v>332</v>
      </c>
      <c r="D255" s="5" t="s">
        <v>248</v>
      </c>
      <c r="E255" t="str">
        <f t="shared" si="8"/>
        <v>Chimaltenango, San Andrés Itzapa, Guatemala</v>
      </c>
    </row>
    <row r="256" spans="1:5" hidden="1" x14ac:dyDescent="0.3">
      <c r="A256" s="5" t="s">
        <v>248</v>
      </c>
      <c r="B256" s="5" t="s">
        <v>265</v>
      </c>
      <c r="C256" s="5" t="s">
        <v>265</v>
      </c>
      <c r="D256" s="5" t="s">
        <v>248</v>
      </c>
      <c r="E256" t="str">
        <f t="shared" si="8"/>
        <v>Totonicapán, Totonicapán, Guatemala</v>
      </c>
    </row>
    <row r="257" spans="1:5" hidden="1" x14ac:dyDescent="0.3">
      <c r="A257" s="5" t="s">
        <v>248</v>
      </c>
      <c r="B257" s="5" t="s">
        <v>265</v>
      </c>
      <c r="C257" s="5" t="s">
        <v>333</v>
      </c>
      <c r="D257" s="5" t="s">
        <v>248</v>
      </c>
      <c r="E257" t="str">
        <f t="shared" si="8"/>
        <v>Totonicapán, Momostenango, Guatemala</v>
      </c>
    </row>
    <row r="258" spans="1:5" hidden="1" x14ac:dyDescent="0.3">
      <c r="A258" s="5" t="s">
        <v>248</v>
      </c>
      <c r="B258" s="5" t="s">
        <v>263</v>
      </c>
      <c r="C258" s="5" t="s">
        <v>334</v>
      </c>
      <c r="D258" s="5" t="s">
        <v>248</v>
      </c>
      <c r="E258" t="str">
        <f t="shared" si="8"/>
        <v>San Marcos, Tacaná, Guatemala</v>
      </c>
    </row>
    <row r="259" spans="1:5" hidden="1" x14ac:dyDescent="0.3">
      <c r="A259" s="5" t="s">
        <v>248</v>
      </c>
      <c r="B259" s="5" t="s">
        <v>253</v>
      </c>
      <c r="C259" s="5" t="s">
        <v>335</v>
      </c>
      <c r="D259" s="5" t="s">
        <v>248</v>
      </c>
      <c r="E259" t="str">
        <f t="shared" si="8"/>
        <v>Quiché, Joyabaj, Guatemala</v>
      </c>
    </row>
    <row r="260" spans="1:5" hidden="1" x14ac:dyDescent="0.3">
      <c r="A260" s="5" t="s">
        <v>248</v>
      </c>
      <c r="B260" s="5" t="s">
        <v>256</v>
      </c>
      <c r="C260" s="5" t="s">
        <v>336</v>
      </c>
      <c r="D260" s="5" t="s">
        <v>248</v>
      </c>
      <c r="E260" t="str">
        <f t="shared" si="8"/>
        <v>Huehuetenango, San Sebastián Coatán, Guatemala</v>
      </c>
    </row>
    <row r="261" spans="1:5" hidden="1" x14ac:dyDescent="0.3">
      <c r="A261" s="5" t="s">
        <v>248</v>
      </c>
      <c r="B261" s="5" t="s">
        <v>253</v>
      </c>
      <c r="C261" s="5" t="s">
        <v>337</v>
      </c>
      <c r="D261" s="5" t="s">
        <v>248</v>
      </c>
      <c r="E261" t="str">
        <f t="shared" si="8"/>
        <v>Quiché, San Pedro Jocopilas, Guatemala</v>
      </c>
    </row>
    <row r="262" spans="1:5" hidden="1" x14ac:dyDescent="0.3">
      <c r="A262" s="5" t="s">
        <v>248</v>
      </c>
      <c r="B262" s="5" t="s">
        <v>251</v>
      </c>
      <c r="C262" s="5" t="s">
        <v>338</v>
      </c>
      <c r="D262" s="5" t="s">
        <v>248</v>
      </c>
      <c r="E262" t="str">
        <f t="shared" si="8"/>
        <v>Sololá, Santa Clara la Laguna, Guatemala</v>
      </c>
    </row>
    <row r="263" spans="1:5" hidden="1" x14ac:dyDescent="0.3">
      <c r="A263" s="5" t="s">
        <v>248</v>
      </c>
      <c r="B263" s="5" t="s">
        <v>288</v>
      </c>
      <c r="C263" s="5" t="s">
        <v>339</v>
      </c>
      <c r="D263" s="5" t="s">
        <v>248</v>
      </c>
      <c r="E263" t="str">
        <f t="shared" si="8"/>
        <v>Chimaltenango, Patzún, Guatemala</v>
      </c>
    </row>
    <row r="264" spans="1:5" hidden="1" x14ac:dyDescent="0.3">
      <c r="A264" s="5" t="s">
        <v>248</v>
      </c>
      <c r="B264" s="5" t="s">
        <v>253</v>
      </c>
      <c r="C264" s="5" t="s">
        <v>340</v>
      </c>
      <c r="D264" s="5" t="s">
        <v>248</v>
      </c>
      <c r="E264" t="str">
        <f t="shared" si="8"/>
        <v>Quiché, Chiché, Guatemala</v>
      </c>
    </row>
    <row r="265" spans="1:5" hidden="1" x14ac:dyDescent="0.3">
      <c r="A265" s="5" t="s">
        <v>248</v>
      </c>
      <c r="B265" s="5" t="s">
        <v>256</v>
      </c>
      <c r="C265" s="5" t="s">
        <v>341</v>
      </c>
      <c r="D265" s="5" t="s">
        <v>248</v>
      </c>
      <c r="E265" t="str">
        <f t="shared" si="8"/>
        <v>Huehuetenango, San Sebastián Huehuetenango, Guatemala</v>
      </c>
    </row>
    <row r="266" spans="1:5" hidden="1" x14ac:dyDescent="0.3">
      <c r="A266" s="5" t="s">
        <v>248</v>
      </c>
      <c r="B266" s="5" t="s">
        <v>256</v>
      </c>
      <c r="C266" s="5" t="s">
        <v>342</v>
      </c>
      <c r="D266" s="5" t="s">
        <v>248</v>
      </c>
      <c r="E266" t="str">
        <f t="shared" si="8"/>
        <v>Huehuetenango, Tectitán, Guatemala</v>
      </c>
    </row>
    <row r="267" spans="1:5" hidden="1" x14ac:dyDescent="0.3">
      <c r="A267" s="5" t="s">
        <v>248</v>
      </c>
      <c r="B267" s="5" t="s">
        <v>288</v>
      </c>
      <c r="C267" s="5" t="s">
        <v>343</v>
      </c>
      <c r="D267" s="5" t="s">
        <v>248</v>
      </c>
      <c r="E267" t="str">
        <f t="shared" si="8"/>
        <v>Chimaltenango, Santa Apolonia, Guatemala</v>
      </c>
    </row>
    <row r="268" spans="1:5" hidden="1" x14ac:dyDescent="0.3">
      <c r="A268" s="5" t="s">
        <v>248</v>
      </c>
      <c r="B268" s="5" t="s">
        <v>263</v>
      </c>
      <c r="C268" s="5" t="s">
        <v>344</v>
      </c>
      <c r="D268" s="5" t="s">
        <v>248</v>
      </c>
      <c r="E268" t="str">
        <f t="shared" si="8"/>
        <v>San Marcos, Pajapita, Guatemala</v>
      </c>
    </row>
    <row r="269" spans="1:5" hidden="1" x14ac:dyDescent="0.3">
      <c r="A269" s="5" t="s">
        <v>248</v>
      </c>
      <c r="B269" s="5" t="s">
        <v>249</v>
      </c>
      <c r="C269" s="5" t="s">
        <v>345</v>
      </c>
      <c r="D269" s="5" t="s">
        <v>248</v>
      </c>
      <c r="E269" t="str">
        <f t="shared" si="8"/>
        <v>Quetzaltenango, San Juan Ostuncalco, Guatemala</v>
      </c>
    </row>
    <row r="270" spans="1:5" hidden="1" x14ac:dyDescent="0.3">
      <c r="A270" s="5" t="s">
        <v>248</v>
      </c>
      <c r="B270" s="5" t="s">
        <v>263</v>
      </c>
      <c r="C270" s="5" t="s">
        <v>229</v>
      </c>
      <c r="D270" s="5" t="s">
        <v>248</v>
      </c>
      <c r="E270" t="str">
        <f t="shared" si="8"/>
        <v>San Marcos, San Lorenzo, Guatemala</v>
      </c>
    </row>
    <row r="271" spans="1:5" hidden="1" x14ac:dyDescent="0.3">
      <c r="A271" s="5" t="s">
        <v>248</v>
      </c>
      <c r="B271" s="5" t="s">
        <v>256</v>
      </c>
      <c r="C271" s="5" t="s">
        <v>346</v>
      </c>
      <c r="D271" s="5" t="s">
        <v>248</v>
      </c>
      <c r="E271" t="str">
        <f t="shared" si="8"/>
        <v>Huehuetenango, San Antonio Huista, Guatemala</v>
      </c>
    </row>
    <row r="272" spans="1:5" hidden="1" x14ac:dyDescent="0.3">
      <c r="A272" s="5" t="s">
        <v>248</v>
      </c>
      <c r="B272" s="5" t="s">
        <v>256</v>
      </c>
      <c r="C272" s="5" t="s">
        <v>347</v>
      </c>
      <c r="D272" s="5" t="s">
        <v>248</v>
      </c>
      <c r="E272" t="str">
        <f t="shared" si="8"/>
        <v>Huehuetenango, Santa Eulalia, Guatemala</v>
      </c>
    </row>
    <row r="273" spans="1:5" hidden="1" x14ac:dyDescent="0.3">
      <c r="A273" s="5" t="s">
        <v>248</v>
      </c>
      <c r="B273" s="5" t="s">
        <v>256</v>
      </c>
      <c r="C273" s="5" t="s">
        <v>348</v>
      </c>
      <c r="D273" s="5" t="s">
        <v>248</v>
      </c>
      <c r="E273" t="str">
        <f t="shared" si="8"/>
        <v>Huehuetenango, San Juan Ixcoy, Guatemala</v>
      </c>
    </row>
    <row r="274" spans="1:5" hidden="1" x14ac:dyDescent="0.3">
      <c r="A274" s="5" t="s">
        <v>248</v>
      </c>
      <c r="B274" s="5" t="s">
        <v>253</v>
      </c>
      <c r="C274" s="5" t="s">
        <v>349</v>
      </c>
      <c r="D274" s="5" t="s">
        <v>248</v>
      </c>
      <c r="E274" t="str">
        <f t="shared" si="8"/>
        <v>Quiché, Santa María Nebaj, Guatemala</v>
      </c>
    </row>
    <row r="275" spans="1:5" hidden="1" x14ac:dyDescent="0.3">
      <c r="A275" s="5" t="s">
        <v>248</v>
      </c>
      <c r="B275" s="5" t="s">
        <v>288</v>
      </c>
      <c r="C275" s="5" t="s">
        <v>350</v>
      </c>
      <c r="D275" s="5" t="s">
        <v>248</v>
      </c>
      <c r="E275" t="str">
        <f t="shared" si="8"/>
        <v>Chimaltenango, San Juan Comalapa, Guatemala</v>
      </c>
    </row>
    <row r="276" spans="1:5" hidden="1" x14ac:dyDescent="0.3">
      <c r="A276" s="5" t="s">
        <v>248</v>
      </c>
      <c r="B276" s="5" t="s">
        <v>288</v>
      </c>
      <c r="C276" s="5" t="s">
        <v>351</v>
      </c>
      <c r="D276" s="5" t="s">
        <v>248</v>
      </c>
      <c r="E276" t="str">
        <f t="shared" si="8"/>
        <v>Chimaltenango, San Martín Jilotepeque, Guatemala</v>
      </c>
    </row>
    <row r="277" spans="1:5" hidden="1" x14ac:dyDescent="0.3">
      <c r="A277" s="5" t="s">
        <v>248</v>
      </c>
      <c r="B277" s="5" t="s">
        <v>253</v>
      </c>
      <c r="C277" s="5" t="s">
        <v>352</v>
      </c>
      <c r="D277" s="5" t="s">
        <v>248</v>
      </c>
      <c r="E277" t="str">
        <f t="shared" si="8"/>
        <v>Quiché, Santa Cruz del Quiché, Guatemala</v>
      </c>
    </row>
    <row r="278" spans="1:5" hidden="1" x14ac:dyDescent="0.3">
      <c r="A278" s="5" t="s">
        <v>248</v>
      </c>
      <c r="B278" s="5" t="s">
        <v>288</v>
      </c>
      <c r="C278" s="5" t="s">
        <v>353</v>
      </c>
      <c r="D278" s="5" t="s">
        <v>248</v>
      </c>
      <c r="E278" t="str">
        <f t="shared" si="8"/>
        <v>Chimaltenango, Santa Cruz Balanyá, Guatemala</v>
      </c>
    </row>
    <row r="279" spans="1:5" hidden="1" x14ac:dyDescent="0.3">
      <c r="A279" s="5" t="s">
        <v>248</v>
      </c>
      <c r="B279" s="5" t="s">
        <v>263</v>
      </c>
      <c r="C279" s="5" t="s">
        <v>354</v>
      </c>
      <c r="D279" s="5" t="s">
        <v>248</v>
      </c>
      <c r="E279" t="str">
        <f t="shared" si="8"/>
        <v>San Marcos, Concepción Tutuapa, Guatemala</v>
      </c>
    </row>
    <row r="280" spans="1:5" hidden="1" x14ac:dyDescent="0.3">
      <c r="A280" s="5" t="s">
        <v>248</v>
      </c>
      <c r="B280" s="5" t="s">
        <v>256</v>
      </c>
      <c r="C280" s="5" t="s">
        <v>355</v>
      </c>
      <c r="D280" s="5" t="s">
        <v>248</v>
      </c>
      <c r="E280" t="str">
        <f t="shared" si="8"/>
        <v>Huehuetenango, Todos Santos Cuchumatán, Guatemala</v>
      </c>
    </row>
    <row r="281" spans="1:5" hidden="1" x14ac:dyDescent="0.3">
      <c r="A281" s="5" t="s">
        <v>248</v>
      </c>
      <c r="B281" s="5" t="s">
        <v>256</v>
      </c>
      <c r="C281" s="5" t="s">
        <v>356</v>
      </c>
      <c r="D281" s="5" t="s">
        <v>248</v>
      </c>
      <c r="E281" t="str">
        <f t="shared" si="8"/>
        <v>Huehuetenango, Santa Cruz Barillas, Guatemala</v>
      </c>
    </row>
    <row r="282" spans="1:5" hidden="1" x14ac:dyDescent="0.3">
      <c r="A282" s="5" t="s">
        <v>248</v>
      </c>
      <c r="B282" s="5" t="s">
        <v>265</v>
      </c>
      <c r="C282" s="5" t="s">
        <v>357</v>
      </c>
      <c r="D282" s="5" t="s">
        <v>248</v>
      </c>
      <c r="E282" t="str">
        <f t="shared" si="8"/>
        <v>Totonicapán, San Cristóbal Totonicapán, Guatemala</v>
      </c>
    </row>
    <row r="283" spans="1:5" hidden="1" x14ac:dyDescent="0.3">
      <c r="A283" s="5" t="s">
        <v>248</v>
      </c>
      <c r="B283" s="5" t="s">
        <v>253</v>
      </c>
      <c r="C283" s="5" t="s">
        <v>358</v>
      </c>
      <c r="D283" s="5" t="s">
        <v>248</v>
      </c>
      <c r="E283" t="str">
        <f t="shared" si="8"/>
        <v>Quiché, Pachalum, Guatemala</v>
      </c>
    </row>
    <row r="284" spans="1:5" hidden="1" x14ac:dyDescent="0.3">
      <c r="A284" s="5" t="s">
        <v>248</v>
      </c>
      <c r="B284" s="5" t="s">
        <v>263</v>
      </c>
      <c r="C284" s="5" t="s">
        <v>359</v>
      </c>
      <c r="D284" s="5" t="s">
        <v>248</v>
      </c>
      <c r="E284" t="str">
        <f t="shared" si="8"/>
        <v>San Marcos, San Rafael Pie de la Cuesta, Guatemala</v>
      </c>
    </row>
    <row r="285" spans="1:5" hidden="1" x14ac:dyDescent="0.3">
      <c r="A285" s="5" t="s">
        <v>248</v>
      </c>
      <c r="B285" s="5" t="s">
        <v>251</v>
      </c>
      <c r="C285" s="5" t="s">
        <v>360</v>
      </c>
      <c r="D285" s="5" t="s">
        <v>248</v>
      </c>
      <c r="E285" t="str">
        <f t="shared" si="8"/>
        <v>Sololá, Santa Lucía Utatlán, Guatemala</v>
      </c>
    </row>
    <row r="286" spans="1:5" hidden="1" x14ac:dyDescent="0.3">
      <c r="A286" s="5" t="s">
        <v>248</v>
      </c>
      <c r="B286" s="5" t="s">
        <v>256</v>
      </c>
      <c r="C286" s="5" t="s">
        <v>361</v>
      </c>
      <c r="D286" s="5" t="s">
        <v>248</v>
      </c>
      <c r="E286" t="str">
        <f t="shared" si="8"/>
        <v>Huehuetenango, San Ildefonso Ixtahuacán, Guatemala</v>
      </c>
    </row>
    <row r="287" spans="1:5" hidden="1" x14ac:dyDescent="0.3">
      <c r="A287" s="5" t="s">
        <v>248</v>
      </c>
      <c r="B287" s="5" t="s">
        <v>263</v>
      </c>
      <c r="C287" s="5" t="s">
        <v>362</v>
      </c>
      <c r="D287" s="5" t="s">
        <v>248</v>
      </c>
      <c r="E287" t="str">
        <f t="shared" si="8"/>
        <v>San Marcos, Nuevo Progreso, Guatemala</v>
      </c>
    </row>
    <row r="288" spans="1:5" hidden="1" x14ac:dyDescent="0.3">
      <c r="A288" s="5" t="s">
        <v>248</v>
      </c>
      <c r="B288" s="5" t="s">
        <v>288</v>
      </c>
      <c r="C288" s="5" t="s">
        <v>363</v>
      </c>
      <c r="D288" s="5" t="s">
        <v>248</v>
      </c>
      <c r="E288" t="str">
        <f t="shared" si="8"/>
        <v>Chimaltenango, El Tejar, Guatemala</v>
      </c>
    </row>
    <row r="289" spans="1:5" hidden="1" x14ac:dyDescent="0.3">
      <c r="A289" s="5" t="s">
        <v>248</v>
      </c>
      <c r="B289" s="5" t="s">
        <v>256</v>
      </c>
      <c r="C289" s="5" t="s">
        <v>364</v>
      </c>
      <c r="D289" s="5" t="s">
        <v>248</v>
      </c>
      <c r="E289" t="str">
        <f t="shared" si="8"/>
        <v>Huehuetenango, Chiantla, Guatemala</v>
      </c>
    </row>
    <row r="290" spans="1:5" hidden="1" x14ac:dyDescent="0.3">
      <c r="A290" s="5" t="s">
        <v>248</v>
      </c>
      <c r="B290" s="5" t="s">
        <v>253</v>
      </c>
      <c r="C290" s="5" t="s">
        <v>365</v>
      </c>
      <c r="D290" s="5" t="s">
        <v>248</v>
      </c>
      <c r="E290" t="str">
        <f t="shared" si="8"/>
        <v>Quiché, Chicamán, Guatemala</v>
      </c>
    </row>
    <row r="291" spans="1:5" hidden="1" x14ac:dyDescent="0.3">
      <c r="A291" s="5" t="s">
        <v>248</v>
      </c>
      <c r="B291" s="5" t="s">
        <v>256</v>
      </c>
      <c r="C291" s="5" t="s">
        <v>256</v>
      </c>
      <c r="D291" s="5" t="s">
        <v>248</v>
      </c>
      <c r="E291" t="str">
        <f t="shared" si="8"/>
        <v>Huehuetenango, Huehuetenango, Guatemala</v>
      </c>
    </row>
    <row r="292" spans="1:5" hidden="1" x14ac:dyDescent="0.3">
      <c r="A292" s="5" t="s">
        <v>248</v>
      </c>
      <c r="B292" s="5" t="s">
        <v>263</v>
      </c>
      <c r="C292" s="5" t="s">
        <v>263</v>
      </c>
      <c r="D292" s="5" t="s">
        <v>248</v>
      </c>
      <c r="E292" t="str">
        <f t="shared" si="8"/>
        <v>San Marcos, San Marcos, Guatemala</v>
      </c>
    </row>
    <row r="293" spans="1:5" hidden="1" x14ac:dyDescent="0.3">
      <c r="A293" s="5" t="s">
        <v>248</v>
      </c>
      <c r="B293" s="5" t="s">
        <v>249</v>
      </c>
      <c r="C293" s="5" t="s">
        <v>249</v>
      </c>
      <c r="D293" s="5" t="s">
        <v>248</v>
      </c>
      <c r="E293" t="str">
        <f t="shared" si="8"/>
        <v>Quetzaltenango, Quetzaltenango, Guatemala</v>
      </c>
    </row>
    <row r="294" spans="1:5" hidden="1" x14ac:dyDescent="0.3">
      <c r="A294" s="5" t="s">
        <v>248</v>
      </c>
      <c r="B294" s="5" t="s">
        <v>251</v>
      </c>
      <c r="C294" s="5" t="s">
        <v>366</v>
      </c>
      <c r="D294" s="5" t="s">
        <v>248</v>
      </c>
      <c r="E294" t="str">
        <f t="shared" si="8"/>
        <v>Sololá, San Juan la Laguna, Guatemala</v>
      </c>
    </row>
    <row r="295" spans="1:5" hidden="1" x14ac:dyDescent="0.3">
      <c r="A295" s="5" t="s">
        <v>248</v>
      </c>
      <c r="B295" s="5" t="s">
        <v>288</v>
      </c>
      <c r="C295" s="5" t="s">
        <v>367</v>
      </c>
      <c r="D295" s="5" t="s">
        <v>248</v>
      </c>
      <c r="E295" t="str">
        <f t="shared" si="8"/>
        <v>Chimaltenango, Zaragoza, Guatemala</v>
      </c>
    </row>
    <row r="296" spans="1:5" hidden="1" x14ac:dyDescent="0.3">
      <c r="A296" s="5" t="s">
        <v>248</v>
      </c>
      <c r="B296" s="5" t="s">
        <v>288</v>
      </c>
      <c r="C296" s="5" t="s">
        <v>288</v>
      </c>
      <c r="D296" s="5" t="s">
        <v>248</v>
      </c>
      <c r="E296" t="str">
        <f t="shared" si="8"/>
        <v>Chimaltenango, Chimaltenango, Guatemala</v>
      </c>
    </row>
    <row r="297" spans="1:5" hidden="1" x14ac:dyDescent="0.3">
      <c r="A297" s="5" t="s">
        <v>248</v>
      </c>
      <c r="B297" s="5" t="s">
        <v>253</v>
      </c>
      <c r="C297" s="5" t="s">
        <v>368</v>
      </c>
      <c r="D297" s="5" t="s">
        <v>248</v>
      </c>
      <c r="E297" t="str">
        <f t="shared" si="8"/>
        <v>Quiché, Cunén, Guatemala</v>
      </c>
    </row>
    <row r="298" spans="1:5" hidden="1" x14ac:dyDescent="0.3">
      <c r="A298" s="5" t="s">
        <v>248</v>
      </c>
      <c r="B298" s="5" t="s">
        <v>249</v>
      </c>
      <c r="C298" s="5" t="s">
        <v>369</v>
      </c>
      <c r="D298" s="5" t="s">
        <v>248</v>
      </c>
      <c r="E298" t="str">
        <f t="shared" si="8"/>
        <v>Quetzaltenango, San Mateo, Guatemala</v>
      </c>
    </row>
    <row r="299" spans="1:5" hidden="1" x14ac:dyDescent="0.3">
      <c r="A299" s="5" t="s">
        <v>248</v>
      </c>
      <c r="B299" s="5" t="s">
        <v>263</v>
      </c>
      <c r="C299" s="5" t="s">
        <v>370</v>
      </c>
      <c r="D299" s="5" t="s">
        <v>248</v>
      </c>
      <c r="E299" t="str">
        <f t="shared" si="8"/>
        <v>San Marcos, Río Blanco, Guatemala</v>
      </c>
    </row>
    <row r="300" spans="1:5" hidden="1" x14ac:dyDescent="0.3">
      <c r="A300" s="5" t="s">
        <v>248</v>
      </c>
      <c r="B300" s="5" t="s">
        <v>253</v>
      </c>
      <c r="C300" s="5" t="s">
        <v>371</v>
      </c>
      <c r="D300" s="5" t="s">
        <v>248</v>
      </c>
      <c r="E300" t="str">
        <f t="shared" si="8"/>
        <v>Quiché, Chinique, Guatemala</v>
      </c>
    </row>
    <row r="301" spans="1:5" hidden="1" x14ac:dyDescent="0.3">
      <c r="A301" s="5" t="s">
        <v>248</v>
      </c>
      <c r="B301" s="5" t="s">
        <v>253</v>
      </c>
      <c r="C301" s="5" t="s">
        <v>372</v>
      </c>
      <c r="D301" s="5" t="s">
        <v>248</v>
      </c>
      <c r="E301" t="str">
        <f t="shared" si="8"/>
        <v>Quiché, Playa Grande Ixcán, Guatemala</v>
      </c>
    </row>
    <row r="302" spans="1:5" hidden="1" x14ac:dyDescent="0.3">
      <c r="A302" s="5" t="s">
        <v>248</v>
      </c>
      <c r="B302" s="5" t="s">
        <v>263</v>
      </c>
      <c r="C302" s="5" t="s">
        <v>373</v>
      </c>
      <c r="D302" s="5" t="s">
        <v>248</v>
      </c>
      <c r="E302" t="str">
        <f t="shared" si="8"/>
        <v>San Marcos, Catarina, Guatemala</v>
      </c>
    </row>
    <row r="303" spans="1:5" hidden="1" x14ac:dyDescent="0.3">
      <c r="A303" s="5" t="s">
        <v>248</v>
      </c>
      <c r="B303" s="5" t="s">
        <v>251</v>
      </c>
      <c r="C303" s="5" t="s">
        <v>374</v>
      </c>
      <c r="D303" s="5" t="s">
        <v>248</v>
      </c>
      <c r="E303" t="str">
        <f t="shared" si="8"/>
        <v>Sololá, San Pedro la Laguna, Guatemala</v>
      </c>
    </row>
    <row r="304" spans="1:5" hidden="1" x14ac:dyDescent="0.3">
      <c r="A304" s="5" t="s">
        <v>248</v>
      </c>
      <c r="B304" s="5" t="s">
        <v>263</v>
      </c>
      <c r="C304" s="5" t="s">
        <v>375</v>
      </c>
      <c r="D304" s="5" t="s">
        <v>248</v>
      </c>
      <c r="E304" t="str">
        <f t="shared" si="8"/>
        <v>San Marcos, Sipacapa, Guatemala</v>
      </c>
    </row>
    <row r="305" spans="1:5" hidden="1" x14ac:dyDescent="0.3">
      <c r="A305" s="5" t="s">
        <v>248</v>
      </c>
      <c r="B305" s="5" t="s">
        <v>263</v>
      </c>
      <c r="C305" s="5" t="s">
        <v>376</v>
      </c>
      <c r="D305" s="5" t="s">
        <v>248</v>
      </c>
      <c r="E305" t="str">
        <f t="shared" ref="E305:E326" si="9">B305&amp;", "&amp;C305&amp;", Guatemala"</f>
        <v>San Marcos, Comitancillo, Guatemala</v>
      </c>
    </row>
    <row r="306" spans="1:5" hidden="1" x14ac:dyDescent="0.3">
      <c r="A306" s="5" t="s">
        <v>248</v>
      </c>
      <c r="B306" s="5" t="s">
        <v>253</v>
      </c>
      <c r="C306" s="5" t="s">
        <v>377</v>
      </c>
      <c r="D306" s="5" t="s">
        <v>248</v>
      </c>
      <c r="E306" t="str">
        <f t="shared" si="9"/>
        <v>Quiché, San Andrés Sajcabajá, Guatemala</v>
      </c>
    </row>
    <row r="307" spans="1:5" hidden="1" x14ac:dyDescent="0.3">
      <c r="A307" s="5" t="s">
        <v>248</v>
      </c>
      <c r="B307" s="5" t="s">
        <v>256</v>
      </c>
      <c r="C307" s="5" t="s">
        <v>378</v>
      </c>
      <c r="D307" s="5" t="s">
        <v>248</v>
      </c>
      <c r="E307" t="str">
        <f t="shared" si="9"/>
        <v>Huehuetenango, San Pedro Necta, Guatemala</v>
      </c>
    </row>
    <row r="308" spans="1:5" hidden="1" x14ac:dyDescent="0.3">
      <c r="A308" s="5" t="s">
        <v>248</v>
      </c>
      <c r="B308" s="5" t="s">
        <v>256</v>
      </c>
      <c r="C308" s="5" t="s">
        <v>379</v>
      </c>
      <c r="D308" s="5" t="s">
        <v>248</v>
      </c>
      <c r="E308" t="str">
        <f t="shared" si="9"/>
        <v>Huehuetenango, Aguacatán, Guatemala</v>
      </c>
    </row>
    <row r="309" spans="1:5" hidden="1" x14ac:dyDescent="0.3">
      <c r="A309" s="5" t="s">
        <v>248</v>
      </c>
      <c r="B309" s="5" t="s">
        <v>249</v>
      </c>
      <c r="C309" s="5" t="s">
        <v>380</v>
      </c>
      <c r="D309" s="5" t="s">
        <v>248</v>
      </c>
      <c r="E309" t="str">
        <f t="shared" si="9"/>
        <v>Quetzaltenango, Coatepeque, Guatemala</v>
      </c>
    </row>
    <row r="310" spans="1:5" hidden="1" x14ac:dyDescent="0.3">
      <c r="A310" s="5" t="s">
        <v>248</v>
      </c>
      <c r="B310" s="5" t="s">
        <v>256</v>
      </c>
      <c r="C310" s="5" t="s">
        <v>381</v>
      </c>
      <c r="D310" s="5" t="s">
        <v>248</v>
      </c>
      <c r="E310" t="str">
        <f t="shared" si="9"/>
        <v>Huehuetenango, Cuilco, Guatemala</v>
      </c>
    </row>
    <row r="311" spans="1:5" hidden="1" x14ac:dyDescent="0.3">
      <c r="A311" s="5" t="s">
        <v>248</v>
      </c>
      <c r="B311" s="5" t="s">
        <v>256</v>
      </c>
      <c r="C311" s="5" t="s">
        <v>382</v>
      </c>
      <c r="D311" s="5" t="s">
        <v>248</v>
      </c>
      <c r="E311" t="str">
        <f t="shared" si="9"/>
        <v>Huehuetenango, Jacaltenango, Guatemala</v>
      </c>
    </row>
    <row r="312" spans="1:5" hidden="1" x14ac:dyDescent="0.3">
      <c r="A312" s="5" t="s">
        <v>248</v>
      </c>
      <c r="B312" s="5" t="s">
        <v>263</v>
      </c>
      <c r="C312" s="5" t="s">
        <v>383</v>
      </c>
      <c r="D312" s="5" t="s">
        <v>248</v>
      </c>
      <c r="E312" t="str">
        <f t="shared" si="9"/>
        <v>San Marcos, Tejutla, Guatemala</v>
      </c>
    </row>
    <row r="313" spans="1:5" hidden="1" x14ac:dyDescent="0.3">
      <c r="A313" s="5" t="s">
        <v>248</v>
      </c>
      <c r="B313" s="5" t="s">
        <v>253</v>
      </c>
      <c r="C313" s="5" t="s">
        <v>384</v>
      </c>
      <c r="D313" s="5" t="s">
        <v>248</v>
      </c>
      <c r="E313" t="str">
        <f t="shared" si="9"/>
        <v>Quiché, San Miguel Uspantán, Guatemala</v>
      </c>
    </row>
    <row r="314" spans="1:5" hidden="1" x14ac:dyDescent="0.3">
      <c r="A314" s="5" t="s">
        <v>248</v>
      </c>
      <c r="B314" s="5" t="s">
        <v>263</v>
      </c>
      <c r="C314" s="5" t="s">
        <v>385</v>
      </c>
      <c r="D314" s="5" t="s">
        <v>248</v>
      </c>
      <c r="E314" t="str">
        <f t="shared" si="9"/>
        <v>San Marcos, Ixchiguán, Guatemala</v>
      </c>
    </row>
    <row r="315" spans="1:5" hidden="1" x14ac:dyDescent="0.3">
      <c r="A315" s="5" t="s">
        <v>248</v>
      </c>
      <c r="B315" s="5" t="s">
        <v>251</v>
      </c>
      <c r="C315" s="5" t="s">
        <v>386</v>
      </c>
      <c r="D315" s="5" t="s">
        <v>248</v>
      </c>
      <c r="E315" t="str">
        <f t="shared" si="9"/>
        <v>Sololá, San Andrés Semetabaj, Guatemala</v>
      </c>
    </row>
    <row r="316" spans="1:5" hidden="1" x14ac:dyDescent="0.3">
      <c r="A316" s="5" t="s">
        <v>248</v>
      </c>
      <c r="B316" s="5" t="s">
        <v>263</v>
      </c>
      <c r="C316" s="5" t="s">
        <v>387</v>
      </c>
      <c r="D316" s="5" t="s">
        <v>248</v>
      </c>
      <c r="E316" t="str">
        <f t="shared" si="9"/>
        <v>San Marcos, Malacatán, Guatemala</v>
      </c>
    </row>
    <row r="317" spans="1:5" hidden="1" x14ac:dyDescent="0.3">
      <c r="A317" s="5" t="s">
        <v>248</v>
      </c>
      <c r="B317" s="5" t="s">
        <v>251</v>
      </c>
      <c r="C317" s="5" t="s">
        <v>388</v>
      </c>
      <c r="D317" s="5" t="s">
        <v>248</v>
      </c>
      <c r="E317" t="str">
        <f t="shared" si="9"/>
        <v>Sololá, Panajachel, Guatemala</v>
      </c>
    </row>
    <row r="318" spans="1:5" hidden="1" x14ac:dyDescent="0.3">
      <c r="A318" s="5" t="s">
        <v>248</v>
      </c>
      <c r="B318" s="5" t="s">
        <v>256</v>
      </c>
      <c r="C318" s="5" t="s">
        <v>389</v>
      </c>
      <c r="D318" s="5" t="s">
        <v>248</v>
      </c>
      <c r="E318" t="str">
        <f t="shared" si="9"/>
        <v>Huehuetenango, Malacatancito, Guatemala</v>
      </c>
    </row>
    <row r="319" spans="1:5" hidden="1" x14ac:dyDescent="0.3">
      <c r="A319" s="5" t="s">
        <v>248</v>
      </c>
      <c r="B319" s="5" t="s">
        <v>249</v>
      </c>
      <c r="C319" s="5" t="s">
        <v>390</v>
      </c>
      <c r="D319" s="5" t="s">
        <v>248</v>
      </c>
      <c r="E319" t="str">
        <f t="shared" si="9"/>
        <v>Quetzaltenango, Salcajá, Guatemala</v>
      </c>
    </row>
    <row r="320" spans="1:5" hidden="1" x14ac:dyDescent="0.3">
      <c r="A320" s="5" t="s">
        <v>248</v>
      </c>
      <c r="B320" s="5" t="s">
        <v>263</v>
      </c>
      <c r="C320" s="5" t="s">
        <v>391</v>
      </c>
      <c r="D320" s="5" t="s">
        <v>248</v>
      </c>
      <c r="E320" t="str">
        <f t="shared" si="9"/>
        <v>San Marcos, San Miguel Ixtahuacán, Guatemala</v>
      </c>
    </row>
    <row r="321" spans="1:5" hidden="1" x14ac:dyDescent="0.3">
      <c r="A321" s="5" t="s">
        <v>248</v>
      </c>
      <c r="B321" s="5" t="s">
        <v>263</v>
      </c>
      <c r="C321" s="5" t="s">
        <v>392</v>
      </c>
      <c r="D321" s="5" t="s">
        <v>248</v>
      </c>
      <c r="E321" t="str">
        <f t="shared" si="9"/>
        <v>San Marcos, San Antonio Sacatepéquez, Guatemala</v>
      </c>
    </row>
    <row r="322" spans="1:5" hidden="1" x14ac:dyDescent="0.3">
      <c r="A322" s="5" t="s">
        <v>248</v>
      </c>
      <c r="B322" s="5" t="s">
        <v>263</v>
      </c>
      <c r="C322" s="5" t="s">
        <v>66</v>
      </c>
      <c r="D322" s="5" t="s">
        <v>248</v>
      </c>
      <c r="E322" t="str">
        <f t="shared" si="9"/>
        <v>San Marcos, San Pedro Sacatepéquez, Guatemala</v>
      </c>
    </row>
    <row r="323" spans="1:5" hidden="1" x14ac:dyDescent="0.3">
      <c r="A323" s="5" t="s">
        <v>248</v>
      </c>
      <c r="B323" s="5" t="s">
        <v>249</v>
      </c>
      <c r="C323" s="5" t="s">
        <v>393</v>
      </c>
      <c r="D323" s="5" t="s">
        <v>248</v>
      </c>
      <c r="E323" t="str">
        <f t="shared" si="9"/>
        <v>Quetzaltenango, La Esperanza, Guatemala</v>
      </c>
    </row>
    <row r="324" spans="1:5" hidden="1" x14ac:dyDescent="0.3">
      <c r="A324" s="5" t="s">
        <v>248</v>
      </c>
      <c r="B324" s="5" t="s">
        <v>249</v>
      </c>
      <c r="C324" s="5" t="s">
        <v>394</v>
      </c>
      <c r="D324" s="5" t="s">
        <v>248</v>
      </c>
      <c r="E324" t="str">
        <f t="shared" si="9"/>
        <v>Quetzaltenango, San Juan Olintepeque, Guatemala</v>
      </c>
    </row>
    <row r="325" spans="1:5" hidden="1" x14ac:dyDescent="0.3">
      <c r="A325" s="5" t="s">
        <v>248</v>
      </c>
      <c r="B325" s="5" t="s">
        <v>251</v>
      </c>
      <c r="C325" s="5" t="s">
        <v>395</v>
      </c>
      <c r="D325" s="5" t="s">
        <v>248</v>
      </c>
      <c r="E325" t="str">
        <f t="shared" si="9"/>
        <v>Sololá, Santa María Visitación, Guatemala</v>
      </c>
    </row>
    <row r="326" spans="1:5" hidden="1" x14ac:dyDescent="0.3">
      <c r="A326" s="5" t="s">
        <v>248</v>
      </c>
      <c r="B326" s="5" t="s">
        <v>256</v>
      </c>
      <c r="C326" s="5" t="s">
        <v>396</v>
      </c>
      <c r="D326" s="5" t="s">
        <v>248</v>
      </c>
      <c r="E326" t="str">
        <f t="shared" si="9"/>
        <v>Huehuetenango, Santa Ana Huista, Guatemala</v>
      </c>
    </row>
  </sheetData>
  <autoFilter ref="A1:D326" xr:uid="{573B109A-1750-4B64-A9DD-AB96CC2A5A02}">
    <filterColumn colId="2">
      <filters>
        <filter val="Chiquimulilla"/>
      </filters>
    </filterColumn>
    <sortState xmlns:xlrd2="http://schemas.microsoft.com/office/spreadsheetml/2017/richdata2" ref="A2:D326">
      <sortCondition ref="B1:B32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4581-55FD-4A51-A9D9-EC1E0D8EF1DA}">
  <dimension ref="A1:F78"/>
  <sheetViews>
    <sheetView workbookViewId="0">
      <selection activeCell="C66" sqref="C66"/>
    </sheetView>
  </sheetViews>
  <sheetFormatPr baseColWidth="10" defaultColWidth="11.44140625" defaultRowHeight="14.4" x14ac:dyDescent="0.3"/>
  <cols>
    <col min="1" max="1" width="18" bestFit="1" customWidth="1"/>
    <col min="3" max="3" width="13.88671875" customWidth="1"/>
    <col min="4" max="4" width="18" bestFit="1" customWidth="1"/>
    <col min="5" max="5" width="34" bestFit="1" customWidth="1"/>
  </cols>
  <sheetData>
    <row r="1" spans="1:5" x14ac:dyDescent="0.3">
      <c r="A1" s="8" t="s">
        <v>0</v>
      </c>
      <c r="B1" s="9" t="s">
        <v>1</v>
      </c>
      <c r="C1" s="9" t="s">
        <v>397</v>
      </c>
      <c r="D1" s="8" t="s">
        <v>0</v>
      </c>
    </row>
    <row r="2" spans="1:5" x14ac:dyDescent="0.3">
      <c r="A2" s="10" t="s">
        <v>398</v>
      </c>
      <c r="B2" s="10" t="s">
        <v>399</v>
      </c>
      <c r="C2" s="10" t="s">
        <v>400</v>
      </c>
      <c r="D2" s="10" t="s">
        <v>398</v>
      </c>
    </row>
    <row r="3" spans="1:5" x14ac:dyDescent="0.3">
      <c r="A3" s="10" t="s">
        <v>398</v>
      </c>
      <c r="B3" s="10" t="s">
        <v>399</v>
      </c>
      <c r="C3" s="10" t="s">
        <v>399</v>
      </c>
      <c r="D3" s="10" t="s">
        <v>398</v>
      </c>
    </row>
    <row r="4" spans="1:5" x14ac:dyDescent="0.3">
      <c r="A4" s="10" t="s">
        <v>398</v>
      </c>
      <c r="B4" s="10" t="s">
        <v>399</v>
      </c>
      <c r="C4" s="10" t="s">
        <v>401</v>
      </c>
      <c r="D4" s="10" t="s">
        <v>398</v>
      </c>
    </row>
    <row r="5" spans="1:5" x14ac:dyDescent="0.3">
      <c r="A5" s="10" t="s">
        <v>398</v>
      </c>
      <c r="B5" s="10" t="s">
        <v>399</v>
      </c>
      <c r="C5" s="10" t="s">
        <v>402</v>
      </c>
      <c r="D5" s="10" t="s">
        <v>398</v>
      </c>
    </row>
    <row r="6" spans="1:5" x14ac:dyDescent="0.3">
      <c r="A6" s="10" t="s">
        <v>398</v>
      </c>
      <c r="B6" s="10" t="s">
        <v>399</v>
      </c>
      <c r="C6" s="10" t="s">
        <v>403</v>
      </c>
      <c r="D6" s="10" t="s">
        <v>398</v>
      </c>
    </row>
    <row r="7" spans="1:5" x14ac:dyDescent="0.3">
      <c r="A7" s="10" t="s">
        <v>404</v>
      </c>
      <c r="B7" s="10" t="s">
        <v>399</v>
      </c>
      <c r="C7" s="10" t="s">
        <v>405</v>
      </c>
      <c r="D7" s="10" t="s">
        <v>404</v>
      </c>
      <c r="E7" t="str">
        <f>B7&amp;", "&amp;C7&amp;", Costa Rica"</f>
        <v>San Jose, Desamparados, Costa Rica</v>
      </c>
    </row>
    <row r="8" spans="1:5" x14ac:dyDescent="0.3">
      <c r="A8" s="10" t="s">
        <v>404</v>
      </c>
      <c r="B8" s="10" t="s">
        <v>406</v>
      </c>
      <c r="C8" s="10" t="s">
        <v>407</v>
      </c>
      <c r="D8" s="10" t="s">
        <v>404</v>
      </c>
      <c r="E8" t="str">
        <f t="shared" ref="E8:E15" si="0">B8&amp;", "&amp;C8&amp;", Costa Rica"</f>
        <v>Cartago, Alvarado, Costa Rica</v>
      </c>
    </row>
    <row r="9" spans="1:5" x14ac:dyDescent="0.3">
      <c r="A9" s="10" t="s">
        <v>404</v>
      </c>
      <c r="B9" s="10" t="s">
        <v>399</v>
      </c>
      <c r="C9" s="10" t="s">
        <v>408</v>
      </c>
      <c r="D9" s="10" t="s">
        <v>404</v>
      </c>
      <c r="E9" t="str">
        <f t="shared" si="0"/>
        <v>San Jose, Tarrazu, Costa Rica</v>
      </c>
    </row>
    <row r="10" spans="1:5" x14ac:dyDescent="0.3">
      <c r="A10" s="10" t="s">
        <v>404</v>
      </c>
      <c r="B10" s="10" t="s">
        <v>399</v>
      </c>
      <c r="C10" s="10" t="s">
        <v>409</v>
      </c>
      <c r="D10" s="10" t="s">
        <v>404</v>
      </c>
      <c r="E10" t="str">
        <f t="shared" si="0"/>
        <v>San Jose, Leon Cortes Castro, Costa Rica</v>
      </c>
    </row>
    <row r="11" spans="1:5" x14ac:dyDescent="0.3">
      <c r="A11" s="10" t="s">
        <v>404</v>
      </c>
      <c r="B11" s="10" t="s">
        <v>406</v>
      </c>
      <c r="C11" s="10" t="s">
        <v>406</v>
      </c>
      <c r="D11" s="10" t="s">
        <v>404</v>
      </c>
      <c r="E11" t="str">
        <f t="shared" si="0"/>
        <v>Cartago, Cartago, Costa Rica</v>
      </c>
    </row>
    <row r="12" spans="1:5" x14ac:dyDescent="0.3">
      <c r="A12" s="10" t="s">
        <v>404</v>
      </c>
      <c r="B12" s="10" t="s">
        <v>406</v>
      </c>
      <c r="C12" s="10" t="s">
        <v>410</v>
      </c>
      <c r="D12" s="10" t="s">
        <v>404</v>
      </c>
      <c r="E12" t="str">
        <f t="shared" si="0"/>
        <v>Cartago, Jimenez, Costa Rica</v>
      </c>
    </row>
    <row r="13" spans="1:5" x14ac:dyDescent="0.3">
      <c r="A13" s="10" t="s">
        <v>404</v>
      </c>
      <c r="B13" s="10" t="s">
        <v>399</v>
      </c>
      <c r="C13" s="10" t="s">
        <v>411</v>
      </c>
      <c r="D13" s="10" t="s">
        <v>404</v>
      </c>
      <c r="E13" t="str">
        <f t="shared" si="0"/>
        <v>San Jose, Perez Zeledon, Costa Rica</v>
      </c>
    </row>
    <row r="14" spans="1:5" x14ac:dyDescent="0.3">
      <c r="A14" s="10" t="s">
        <v>404</v>
      </c>
      <c r="B14" s="10" t="s">
        <v>406</v>
      </c>
      <c r="C14" s="10" t="s">
        <v>412</v>
      </c>
      <c r="D14" s="10" t="s">
        <v>404</v>
      </c>
      <c r="E14" t="str">
        <f t="shared" si="0"/>
        <v>Cartago, Oreamuno, Costa Rica</v>
      </c>
    </row>
    <row r="15" spans="1:5" x14ac:dyDescent="0.3">
      <c r="A15" s="10" t="s">
        <v>404</v>
      </c>
      <c r="B15" s="10" t="s">
        <v>413</v>
      </c>
      <c r="C15" s="10" t="s">
        <v>413</v>
      </c>
      <c r="D15" s="10" t="s">
        <v>404</v>
      </c>
      <c r="E15" t="str">
        <f t="shared" si="0"/>
        <v>Heredia, Heredia, Costa Rica</v>
      </c>
    </row>
    <row r="16" spans="1:5" x14ac:dyDescent="0.3">
      <c r="A16" s="10" t="s">
        <v>414</v>
      </c>
      <c r="B16" s="10" t="s">
        <v>406</v>
      </c>
      <c r="C16" s="10" t="s">
        <v>415</v>
      </c>
      <c r="D16" s="10" t="s">
        <v>414</v>
      </c>
    </row>
    <row r="17" spans="1:4" x14ac:dyDescent="0.3">
      <c r="A17" s="10" t="s">
        <v>414</v>
      </c>
      <c r="B17" s="10" t="s">
        <v>399</v>
      </c>
      <c r="C17" s="10" t="s">
        <v>416</v>
      </c>
      <c r="D17" s="10" t="s">
        <v>414</v>
      </c>
    </row>
    <row r="18" spans="1:4" x14ac:dyDescent="0.3">
      <c r="A18" s="10" t="s">
        <v>414</v>
      </c>
      <c r="B18" s="10" t="s">
        <v>399</v>
      </c>
      <c r="C18" s="10" t="s">
        <v>417</v>
      </c>
      <c r="D18" s="10" t="s">
        <v>414</v>
      </c>
    </row>
    <row r="19" spans="1:4" x14ac:dyDescent="0.3">
      <c r="A19" s="10" t="s">
        <v>414</v>
      </c>
      <c r="B19" s="10" t="s">
        <v>418</v>
      </c>
      <c r="C19" s="10" t="s">
        <v>418</v>
      </c>
      <c r="D19" s="10" t="s">
        <v>414</v>
      </c>
    </row>
    <row r="20" spans="1:4" x14ac:dyDescent="0.3">
      <c r="A20" s="10" t="s">
        <v>414</v>
      </c>
      <c r="B20" s="10" t="s">
        <v>418</v>
      </c>
      <c r="C20" s="10" t="s">
        <v>419</v>
      </c>
      <c r="D20" s="10" t="s">
        <v>414</v>
      </c>
    </row>
    <row r="21" spans="1:4" x14ac:dyDescent="0.3">
      <c r="A21" s="10" t="s">
        <v>414</v>
      </c>
      <c r="B21" s="10" t="s">
        <v>418</v>
      </c>
      <c r="C21" s="10" t="s">
        <v>420</v>
      </c>
      <c r="D21" s="10" t="s">
        <v>414</v>
      </c>
    </row>
    <row r="22" spans="1:4" x14ac:dyDescent="0.3">
      <c r="A22" s="10" t="s">
        <v>414</v>
      </c>
      <c r="B22" s="10" t="s">
        <v>418</v>
      </c>
      <c r="C22" s="10" t="s">
        <v>421</v>
      </c>
      <c r="D22" s="10" t="s">
        <v>414</v>
      </c>
    </row>
    <row r="23" spans="1:4" x14ac:dyDescent="0.3">
      <c r="A23" s="10" t="s">
        <v>414</v>
      </c>
      <c r="B23" s="10" t="s">
        <v>418</v>
      </c>
      <c r="C23" s="10" t="s">
        <v>422</v>
      </c>
      <c r="D23" s="10" t="s">
        <v>414</v>
      </c>
    </row>
    <row r="24" spans="1:4" x14ac:dyDescent="0.3">
      <c r="A24" s="10" t="s">
        <v>414</v>
      </c>
      <c r="B24" s="10" t="s">
        <v>413</v>
      </c>
      <c r="C24" s="10" t="s">
        <v>423</v>
      </c>
      <c r="D24" s="10" t="s">
        <v>414</v>
      </c>
    </row>
    <row r="25" spans="1:4" x14ac:dyDescent="0.3">
      <c r="A25" s="10" t="s">
        <v>414</v>
      </c>
      <c r="B25" s="10" t="s">
        <v>418</v>
      </c>
      <c r="C25" s="10" t="s">
        <v>424</v>
      </c>
      <c r="D25" s="10" t="s">
        <v>414</v>
      </c>
    </row>
    <row r="26" spans="1:4" x14ac:dyDescent="0.3">
      <c r="A26" s="10" t="s">
        <v>414</v>
      </c>
      <c r="B26" s="10" t="s">
        <v>399</v>
      </c>
      <c r="C26" s="10" t="s">
        <v>425</v>
      </c>
      <c r="D26" s="10" t="s">
        <v>414</v>
      </c>
    </row>
    <row r="27" spans="1:4" x14ac:dyDescent="0.3">
      <c r="A27" s="10" t="s">
        <v>414</v>
      </c>
      <c r="B27" s="10" t="s">
        <v>418</v>
      </c>
      <c r="C27" s="10" t="s">
        <v>426</v>
      </c>
      <c r="D27" s="10" t="s">
        <v>414</v>
      </c>
    </row>
    <row r="28" spans="1:4" x14ac:dyDescent="0.3">
      <c r="A28" s="10" t="s">
        <v>414</v>
      </c>
      <c r="B28" s="10" t="s">
        <v>418</v>
      </c>
      <c r="C28" s="10" t="s">
        <v>427</v>
      </c>
      <c r="D28" s="10" t="s">
        <v>414</v>
      </c>
    </row>
    <row r="29" spans="1:4" x14ac:dyDescent="0.3">
      <c r="A29" s="10" t="s">
        <v>414</v>
      </c>
      <c r="B29" s="10" t="s">
        <v>418</v>
      </c>
      <c r="C29" s="10" t="s">
        <v>428</v>
      </c>
      <c r="D29" s="10" t="s">
        <v>414</v>
      </c>
    </row>
    <row r="30" spans="1:4" x14ac:dyDescent="0.3">
      <c r="A30" s="10" t="s">
        <v>414</v>
      </c>
      <c r="B30" s="10" t="s">
        <v>418</v>
      </c>
      <c r="C30" s="10" t="s">
        <v>429</v>
      </c>
      <c r="D30" s="10" t="s">
        <v>414</v>
      </c>
    </row>
    <row r="31" spans="1:4" x14ac:dyDescent="0.3">
      <c r="A31" s="10" t="s">
        <v>414</v>
      </c>
      <c r="B31" s="10" t="s">
        <v>406</v>
      </c>
      <c r="C31" s="10" t="s">
        <v>430</v>
      </c>
      <c r="D31" s="10" t="s">
        <v>414</v>
      </c>
    </row>
    <row r="32" spans="1:4" x14ac:dyDescent="0.3">
      <c r="A32" s="10" t="s">
        <v>414</v>
      </c>
      <c r="B32" s="10" t="s">
        <v>413</v>
      </c>
      <c r="C32" s="10" t="s">
        <v>431</v>
      </c>
      <c r="D32" s="10" t="s">
        <v>414</v>
      </c>
    </row>
    <row r="33" spans="1:4" x14ac:dyDescent="0.3">
      <c r="A33" s="10" t="s">
        <v>414</v>
      </c>
      <c r="B33" s="10" t="s">
        <v>418</v>
      </c>
      <c r="C33" s="10" t="s">
        <v>432</v>
      </c>
      <c r="D33" s="10" t="s">
        <v>414</v>
      </c>
    </row>
    <row r="34" spans="1:4" x14ac:dyDescent="0.3">
      <c r="A34" s="10" t="s">
        <v>414</v>
      </c>
      <c r="B34" s="10" t="s">
        <v>399</v>
      </c>
      <c r="C34" s="10" t="s">
        <v>433</v>
      </c>
      <c r="D34" s="10" t="s">
        <v>414</v>
      </c>
    </row>
    <row r="35" spans="1:4" x14ac:dyDescent="0.3">
      <c r="A35" s="10" t="s">
        <v>414</v>
      </c>
      <c r="B35" s="10" t="s">
        <v>418</v>
      </c>
      <c r="C35" s="10" t="s">
        <v>434</v>
      </c>
      <c r="D35" s="10" t="s">
        <v>414</v>
      </c>
    </row>
    <row r="36" spans="1:4" x14ac:dyDescent="0.3">
      <c r="A36" s="10" t="s">
        <v>414</v>
      </c>
      <c r="B36" s="10" t="s">
        <v>418</v>
      </c>
      <c r="C36" s="10" t="s">
        <v>435</v>
      </c>
      <c r="D36" s="10" t="s">
        <v>414</v>
      </c>
    </row>
    <row r="37" spans="1:4" x14ac:dyDescent="0.3">
      <c r="A37" s="10" t="s">
        <v>414</v>
      </c>
      <c r="B37" s="10" t="s">
        <v>418</v>
      </c>
      <c r="C37" s="10" t="s">
        <v>436</v>
      </c>
      <c r="D37" s="10" t="s">
        <v>414</v>
      </c>
    </row>
    <row r="38" spans="1:4" x14ac:dyDescent="0.3">
      <c r="A38" s="10" t="s">
        <v>414</v>
      </c>
      <c r="B38" s="10" t="s">
        <v>406</v>
      </c>
      <c r="C38" s="10" t="s">
        <v>437</v>
      </c>
      <c r="D38" s="10" t="s">
        <v>414</v>
      </c>
    </row>
    <row r="39" spans="1:4" x14ac:dyDescent="0.3">
      <c r="A39" s="10" t="s">
        <v>414</v>
      </c>
      <c r="B39" s="10" t="s">
        <v>406</v>
      </c>
      <c r="C39" s="10" t="s">
        <v>438</v>
      </c>
      <c r="D39" s="10" t="s">
        <v>414</v>
      </c>
    </row>
    <row r="40" spans="1:4" x14ac:dyDescent="0.3">
      <c r="A40" s="10" t="s">
        <v>414</v>
      </c>
      <c r="B40" s="10" t="s">
        <v>413</v>
      </c>
      <c r="C40" s="10" t="s">
        <v>439</v>
      </c>
      <c r="D40" s="10" t="s">
        <v>414</v>
      </c>
    </row>
    <row r="41" spans="1:4" x14ac:dyDescent="0.3">
      <c r="A41" s="10" t="s">
        <v>414</v>
      </c>
      <c r="B41" s="10" t="s">
        <v>413</v>
      </c>
      <c r="C41" s="10" t="s">
        <v>440</v>
      </c>
      <c r="D41" s="10" t="s">
        <v>414</v>
      </c>
    </row>
    <row r="42" spans="1:4" x14ac:dyDescent="0.3">
      <c r="A42" s="10" t="s">
        <v>414</v>
      </c>
      <c r="B42" s="10" t="s">
        <v>399</v>
      </c>
      <c r="C42" s="10" t="s">
        <v>441</v>
      </c>
      <c r="D42" s="10" t="s">
        <v>414</v>
      </c>
    </row>
    <row r="43" spans="1:4" x14ac:dyDescent="0.3">
      <c r="A43" s="10" t="s">
        <v>414</v>
      </c>
      <c r="B43" s="10" t="s">
        <v>413</v>
      </c>
      <c r="C43" s="10" t="s">
        <v>304</v>
      </c>
      <c r="D43" s="10" t="s">
        <v>414</v>
      </c>
    </row>
    <row r="44" spans="1:4" x14ac:dyDescent="0.3">
      <c r="A44" s="10" t="s">
        <v>414</v>
      </c>
      <c r="B44" s="10" t="s">
        <v>413</v>
      </c>
      <c r="C44" s="10" t="s">
        <v>442</v>
      </c>
      <c r="D44" s="10" t="s">
        <v>414</v>
      </c>
    </row>
    <row r="45" spans="1:4" x14ac:dyDescent="0.3">
      <c r="A45" s="10" t="s">
        <v>414</v>
      </c>
      <c r="B45" s="10" t="s">
        <v>399</v>
      </c>
      <c r="C45" s="10" t="s">
        <v>443</v>
      </c>
      <c r="D45" s="10" t="s">
        <v>414</v>
      </c>
    </row>
    <row r="46" spans="1:4" x14ac:dyDescent="0.3">
      <c r="A46" s="10" t="s">
        <v>414</v>
      </c>
      <c r="B46" s="10" t="s">
        <v>399</v>
      </c>
      <c r="C46" s="10" t="s">
        <v>444</v>
      </c>
      <c r="D46" s="10" t="s">
        <v>414</v>
      </c>
    </row>
    <row r="47" spans="1:4" x14ac:dyDescent="0.3">
      <c r="A47" s="10" t="s">
        <v>414</v>
      </c>
      <c r="B47" s="10" t="s">
        <v>399</v>
      </c>
      <c r="C47" s="10" t="s">
        <v>445</v>
      </c>
      <c r="D47" s="10" t="s">
        <v>414</v>
      </c>
    </row>
    <row r="48" spans="1:4" x14ac:dyDescent="0.3">
      <c r="A48" s="10" t="s">
        <v>414</v>
      </c>
      <c r="B48" s="10" t="s">
        <v>399</v>
      </c>
      <c r="C48" s="10" t="s">
        <v>446</v>
      </c>
      <c r="D48" s="10" t="s">
        <v>414</v>
      </c>
    </row>
    <row r="49" spans="1:6" x14ac:dyDescent="0.3">
      <c r="A49" s="10" t="s">
        <v>414</v>
      </c>
      <c r="B49" s="10" t="s">
        <v>413</v>
      </c>
      <c r="C49" s="10" t="s">
        <v>447</v>
      </c>
      <c r="D49" s="10" t="s">
        <v>414</v>
      </c>
    </row>
    <row r="50" spans="1:6" x14ac:dyDescent="0.3">
      <c r="A50" s="10" t="s">
        <v>414</v>
      </c>
      <c r="B50" s="10" t="s">
        <v>413</v>
      </c>
      <c r="C50" s="10" t="s">
        <v>448</v>
      </c>
      <c r="D50" s="10" t="s">
        <v>414</v>
      </c>
    </row>
    <row r="51" spans="1:6" x14ac:dyDescent="0.3">
      <c r="A51" s="10" t="s">
        <v>414</v>
      </c>
      <c r="B51" s="10" t="s">
        <v>413</v>
      </c>
      <c r="C51" s="10" t="s">
        <v>449</v>
      </c>
      <c r="D51" s="10" t="s">
        <v>414</v>
      </c>
    </row>
    <row r="52" spans="1:6" x14ac:dyDescent="0.3">
      <c r="A52" s="10" t="s">
        <v>450</v>
      </c>
      <c r="B52" s="10" t="s">
        <v>451</v>
      </c>
      <c r="C52" s="10" t="s">
        <v>452</v>
      </c>
      <c r="D52" s="10" t="s">
        <v>450</v>
      </c>
      <c r="E52" t="str">
        <f>B52&amp;", "&amp;C52&amp;", Costa Rica"</f>
        <v>Guanacaste, Abangares, Costa Rica</v>
      </c>
    </row>
    <row r="53" spans="1:6" x14ac:dyDescent="0.3">
      <c r="A53" s="10" t="s">
        <v>450</v>
      </c>
      <c r="B53" s="10" t="s">
        <v>451</v>
      </c>
      <c r="C53" s="10" t="s">
        <v>453</v>
      </c>
      <c r="D53" s="10" t="s">
        <v>450</v>
      </c>
      <c r="E53" t="str">
        <f t="shared" ref="E53:E57" si="1">B53&amp;", "&amp;C53&amp;", Costa Rica"</f>
        <v>Guanacaste, Bagaces, Costa Rica</v>
      </c>
    </row>
    <row r="54" spans="1:6" x14ac:dyDescent="0.3">
      <c r="A54" s="10" t="s">
        <v>450</v>
      </c>
      <c r="B54" s="10" t="s">
        <v>451</v>
      </c>
      <c r="C54" s="10" t="s">
        <v>454</v>
      </c>
      <c r="D54" s="10" t="s">
        <v>450</v>
      </c>
      <c r="E54" t="str">
        <f t="shared" si="1"/>
        <v>Guanacaste, Canas, Costa Rica</v>
      </c>
    </row>
    <row r="55" spans="1:6" x14ac:dyDescent="0.3">
      <c r="A55" s="10" t="s">
        <v>450</v>
      </c>
      <c r="B55" s="10" t="s">
        <v>451</v>
      </c>
      <c r="C55" s="10" t="s">
        <v>455</v>
      </c>
      <c r="D55" s="10" t="s">
        <v>450</v>
      </c>
      <c r="E55" t="str">
        <f t="shared" si="1"/>
        <v>Guanacaste, Carrillo, Costa Rica</v>
      </c>
    </row>
    <row r="56" spans="1:6" x14ac:dyDescent="0.3">
      <c r="A56" s="10" t="s">
        <v>450</v>
      </c>
      <c r="B56" s="10" t="s">
        <v>451</v>
      </c>
      <c r="C56" s="10" t="s">
        <v>456</v>
      </c>
      <c r="D56" s="10" t="s">
        <v>450</v>
      </c>
      <c r="E56" t="str">
        <f t="shared" si="1"/>
        <v>Guanacaste, La Cruz, Costa Rica</v>
      </c>
      <c r="F56" t="s">
        <v>457</v>
      </c>
    </row>
    <row r="57" spans="1:6" x14ac:dyDescent="0.3">
      <c r="A57" s="10" t="s">
        <v>450</v>
      </c>
      <c r="B57" s="10" t="s">
        <v>451</v>
      </c>
      <c r="C57" s="10" t="s">
        <v>458</v>
      </c>
      <c r="D57" s="10" t="s">
        <v>450</v>
      </c>
      <c r="E57" t="str">
        <f t="shared" si="1"/>
        <v>Guanacaste, Liberia, Costa Rica</v>
      </c>
    </row>
    <row r="58" spans="1:6" x14ac:dyDescent="0.3">
      <c r="A58" s="10" t="s">
        <v>450</v>
      </c>
      <c r="B58" s="10" t="s">
        <v>451</v>
      </c>
      <c r="C58" s="10" t="s">
        <v>459</v>
      </c>
      <c r="D58" s="10" t="s">
        <v>450</v>
      </c>
      <c r="E58" s="14" t="str">
        <f>C58&amp;", "&amp;A58&amp;", Costa Rica"</f>
        <v>Nandayure, Sur occidente, Costa Rica</v>
      </c>
    </row>
    <row r="59" spans="1:6" x14ac:dyDescent="0.3">
      <c r="A59" s="10" t="s">
        <v>450</v>
      </c>
      <c r="B59" s="10" t="s">
        <v>451</v>
      </c>
      <c r="C59" s="10" t="s">
        <v>460</v>
      </c>
      <c r="D59" s="10" t="s">
        <v>450</v>
      </c>
      <c r="E59" s="14" t="str">
        <f t="shared" ref="E59:E78" si="2">C59&amp;", "&amp;A59&amp;", Costa Rica"</f>
        <v>Nicoya, Sur occidente, Costa Rica</v>
      </c>
      <c r="F59" t="s">
        <v>457</v>
      </c>
    </row>
    <row r="60" spans="1:6" x14ac:dyDescent="0.3">
      <c r="A60" s="10" t="s">
        <v>450</v>
      </c>
      <c r="B60" s="10" t="s">
        <v>451</v>
      </c>
      <c r="C60" s="10" t="s">
        <v>461</v>
      </c>
      <c r="D60" s="10" t="s">
        <v>450</v>
      </c>
      <c r="E60" s="14" t="str">
        <f t="shared" si="2"/>
        <v>Santa Cruz, Sur occidente, Costa Rica</v>
      </c>
    </row>
    <row r="61" spans="1:6" x14ac:dyDescent="0.3">
      <c r="A61" s="10" t="s">
        <v>450</v>
      </c>
      <c r="B61" s="10" t="s">
        <v>451</v>
      </c>
      <c r="C61" s="10" t="s">
        <v>462</v>
      </c>
      <c r="D61" s="10" t="s">
        <v>450</v>
      </c>
      <c r="E61" s="14" t="str">
        <f t="shared" si="2"/>
        <v>Tilaran, Sur occidente, Costa Rica</v>
      </c>
    </row>
    <row r="62" spans="1:6" x14ac:dyDescent="0.3">
      <c r="A62" s="10" t="s">
        <v>33</v>
      </c>
      <c r="B62" s="10" t="s">
        <v>463</v>
      </c>
      <c r="C62" s="10" t="s">
        <v>464</v>
      </c>
      <c r="D62" s="10" t="s">
        <v>33</v>
      </c>
      <c r="E62" s="14" t="str">
        <f t="shared" si="2"/>
        <v>Guacimo, Norte, Costa Rica</v>
      </c>
    </row>
    <row r="63" spans="1:6" x14ac:dyDescent="0.3">
      <c r="A63" s="10" t="s">
        <v>33</v>
      </c>
      <c r="B63" s="10" t="s">
        <v>463</v>
      </c>
      <c r="C63" s="10" t="s">
        <v>465</v>
      </c>
      <c r="D63" s="10" t="s">
        <v>33</v>
      </c>
      <c r="E63" s="14" t="str">
        <f t="shared" si="2"/>
        <v>Matina, Norte, Costa Rica</v>
      </c>
    </row>
    <row r="64" spans="1:6" x14ac:dyDescent="0.3">
      <c r="A64" s="10" t="s">
        <v>33</v>
      </c>
      <c r="B64" s="10" t="s">
        <v>463</v>
      </c>
      <c r="C64" s="10" t="s">
        <v>466</v>
      </c>
      <c r="D64" s="10" t="s">
        <v>33</v>
      </c>
      <c r="E64" s="14" t="str">
        <f t="shared" si="2"/>
        <v>Siquirres, Norte, Costa Rica</v>
      </c>
      <c r="F64" t="s">
        <v>457</v>
      </c>
    </row>
    <row r="65" spans="1:5" x14ac:dyDescent="0.3">
      <c r="A65" s="10" t="s">
        <v>33</v>
      </c>
      <c r="B65" s="10" t="s">
        <v>463</v>
      </c>
      <c r="C65" s="10" t="s">
        <v>467</v>
      </c>
      <c r="D65" s="10" t="s">
        <v>33</v>
      </c>
      <c r="E65" s="14" t="str">
        <f t="shared" si="2"/>
        <v>Talamanca, Norte, Costa Rica</v>
      </c>
    </row>
    <row r="66" spans="1:5" x14ac:dyDescent="0.3">
      <c r="A66" s="10" t="s">
        <v>33</v>
      </c>
      <c r="B66" s="10" t="s">
        <v>463</v>
      </c>
      <c r="C66" s="15" t="s">
        <v>468</v>
      </c>
      <c r="D66" s="10" t="s">
        <v>33</v>
      </c>
      <c r="E66" s="14" t="str">
        <f t="shared" si="2"/>
        <v>Pococi, Norte, Costa Rica</v>
      </c>
    </row>
    <row r="67" spans="1:5" x14ac:dyDescent="0.3">
      <c r="A67" s="10" t="s">
        <v>33</v>
      </c>
      <c r="B67" s="10" t="s">
        <v>463</v>
      </c>
      <c r="C67" s="10" t="s">
        <v>463</v>
      </c>
      <c r="D67" s="10" t="s">
        <v>33</v>
      </c>
      <c r="E67" s="14" t="str">
        <f t="shared" si="2"/>
        <v>Limon, Norte, Costa Rica</v>
      </c>
    </row>
    <row r="68" spans="1:5" x14ac:dyDescent="0.3">
      <c r="A68" s="10" t="s">
        <v>450</v>
      </c>
      <c r="B68" s="10" t="s">
        <v>469</v>
      </c>
      <c r="C68" s="15" t="s">
        <v>470</v>
      </c>
      <c r="D68" s="10" t="s">
        <v>450</v>
      </c>
      <c r="E68" s="14" t="str">
        <f t="shared" si="2"/>
        <v>Aguirre, Sur occidente, Costa Rica</v>
      </c>
    </row>
    <row r="69" spans="1:5" x14ac:dyDescent="0.3">
      <c r="A69" s="10" t="s">
        <v>450</v>
      </c>
      <c r="B69" s="10" t="s">
        <v>469</v>
      </c>
      <c r="C69" s="10" t="s">
        <v>471</v>
      </c>
      <c r="D69" s="10" t="s">
        <v>450</v>
      </c>
      <c r="E69" s="14" t="str">
        <f t="shared" si="2"/>
        <v>Buenos Aires, Sur occidente, Costa Rica</v>
      </c>
    </row>
    <row r="70" spans="1:5" x14ac:dyDescent="0.3">
      <c r="A70" s="10" t="s">
        <v>450</v>
      </c>
      <c r="B70" s="10" t="s">
        <v>469</v>
      </c>
      <c r="C70" s="15" t="s">
        <v>472</v>
      </c>
      <c r="D70" s="10" t="s">
        <v>450</v>
      </c>
      <c r="E70" s="14" t="str">
        <f t="shared" si="2"/>
        <v>Corredores, Sur occidente, Costa Rica</v>
      </c>
    </row>
    <row r="71" spans="1:5" x14ac:dyDescent="0.3">
      <c r="A71" s="10" t="s">
        <v>450</v>
      </c>
      <c r="B71" s="10" t="s">
        <v>469</v>
      </c>
      <c r="C71" s="10" t="s">
        <v>473</v>
      </c>
      <c r="D71" s="10" t="s">
        <v>450</v>
      </c>
      <c r="E71" s="14" t="str">
        <f t="shared" si="2"/>
        <v>Coto Brus, Sur occidente, Costa Rica</v>
      </c>
    </row>
    <row r="72" spans="1:5" x14ac:dyDescent="0.3">
      <c r="A72" s="10" t="s">
        <v>450</v>
      </c>
      <c r="B72" s="10" t="s">
        <v>469</v>
      </c>
      <c r="C72" s="10" t="s">
        <v>474</v>
      </c>
      <c r="D72" s="10" t="s">
        <v>450</v>
      </c>
      <c r="E72" s="14" t="str">
        <f t="shared" si="2"/>
        <v>Esparza, Sur occidente, Costa Rica</v>
      </c>
    </row>
    <row r="73" spans="1:5" x14ac:dyDescent="0.3">
      <c r="A73" s="10" t="s">
        <v>450</v>
      </c>
      <c r="B73" s="10" t="s">
        <v>469</v>
      </c>
      <c r="C73" s="10" t="s">
        <v>475</v>
      </c>
      <c r="D73" s="10" t="s">
        <v>450</v>
      </c>
      <c r="E73" s="14" t="str">
        <f t="shared" si="2"/>
        <v>Garabito, Sur occidente, Costa Rica</v>
      </c>
    </row>
    <row r="74" spans="1:5" x14ac:dyDescent="0.3">
      <c r="A74" s="10" t="s">
        <v>450</v>
      </c>
      <c r="B74" s="10" t="s">
        <v>469</v>
      </c>
      <c r="C74" s="10" t="s">
        <v>476</v>
      </c>
      <c r="D74" s="10" t="s">
        <v>450</v>
      </c>
      <c r="E74" s="14" t="str">
        <f t="shared" si="2"/>
        <v>Golfito, Sur occidente, Costa Rica</v>
      </c>
    </row>
    <row r="75" spans="1:5" x14ac:dyDescent="0.3">
      <c r="A75" s="10" t="s">
        <v>450</v>
      </c>
      <c r="B75" s="10" t="s">
        <v>469</v>
      </c>
      <c r="C75" s="10" t="s">
        <v>477</v>
      </c>
      <c r="D75" s="10" t="s">
        <v>450</v>
      </c>
      <c r="E75" s="14" t="str">
        <f t="shared" si="2"/>
        <v>Montes de Oro, Sur occidente, Costa Rica</v>
      </c>
    </row>
    <row r="76" spans="1:5" x14ac:dyDescent="0.3">
      <c r="A76" s="10" t="s">
        <v>450</v>
      </c>
      <c r="B76" s="10" t="s">
        <v>469</v>
      </c>
      <c r="C76" s="10" t="s">
        <v>478</v>
      </c>
      <c r="D76" s="10" t="s">
        <v>450</v>
      </c>
      <c r="E76" s="14" t="str">
        <f t="shared" si="2"/>
        <v>Osa, Sur occidente, Costa Rica</v>
      </c>
    </row>
    <row r="77" spans="1:5" x14ac:dyDescent="0.3">
      <c r="A77" s="10" t="s">
        <v>450</v>
      </c>
      <c r="B77" s="10" t="s">
        <v>469</v>
      </c>
      <c r="C77" s="10" t="s">
        <v>479</v>
      </c>
      <c r="D77" s="10" t="s">
        <v>450</v>
      </c>
      <c r="E77" s="14" t="str">
        <f t="shared" si="2"/>
        <v>Parrita, Sur occidente, Costa Rica</v>
      </c>
    </row>
    <row r="78" spans="1:5" x14ac:dyDescent="0.3">
      <c r="A78" s="10" t="s">
        <v>450</v>
      </c>
      <c r="B78" s="10" t="s">
        <v>469</v>
      </c>
      <c r="C78" s="10" t="s">
        <v>469</v>
      </c>
      <c r="D78" s="10" t="s">
        <v>450</v>
      </c>
      <c r="E78" s="14" t="str">
        <f t="shared" si="2"/>
        <v>Puntarenas, Sur occidente, Costa Rica</v>
      </c>
    </row>
  </sheetData>
  <autoFilter ref="A1:D78" xr:uid="{42CB4581-55FD-4A51-A9D9-EC1E0D8EF1DA}">
    <sortState xmlns:xlrd2="http://schemas.microsoft.com/office/spreadsheetml/2017/richdata2" ref="A2:D78">
      <sortCondition ref="B1:B7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9B9C-B7B6-410E-8114-8C0B3EBFE638}">
  <sheetPr filterMode="1"/>
  <dimension ref="A1:E263"/>
  <sheetViews>
    <sheetView workbookViewId="0">
      <selection activeCell="A78" sqref="A78:C81"/>
    </sheetView>
  </sheetViews>
  <sheetFormatPr baseColWidth="10" defaultColWidth="11.5546875" defaultRowHeight="13.2" x14ac:dyDescent="0.25"/>
  <cols>
    <col min="1" max="1" width="11.5546875" style="7"/>
    <col min="2" max="2" width="12.33203125" style="7" bestFit="1" customWidth="1"/>
    <col min="3" max="3" width="22" style="7" bestFit="1" customWidth="1"/>
    <col min="4" max="16384" width="11.5546875" style="7"/>
  </cols>
  <sheetData>
    <row r="1" spans="1:5" x14ac:dyDescent="0.25">
      <c r="A1" s="6" t="s">
        <v>480</v>
      </c>
      <c r="B1" s="6" t="s">
        <v>64</v>
      </c>
      <c r="C1" s="6" t="s">
        <v>2</v>
      </c>
      <c r="D1" s="6" t="s">
        <v>480</v>
      </c>
    </row>
    <row r="2" spans="1:5" ht="14.4" hidden="1" x14ac:dyDescent="0.3">
      <c r="A2" s="6" t="s">
        <v>481</v>
      </c>
      <c r="B2" s="6" t="s">
        <v>482</v>
      </c>
      <c r="C2" s="6" t="s">
        <v>483</v>
      </c>
      <c r="D2" s="6" t="s">
        <v>481</v>
      </c>
      <c r="E2" s="16" t="str">
        <f t="shared" ref="E2:E42" si="0">B2&amp;", "&amp;C2&amp;", El salvador"</f>
        <v>AHUACHAPAN, TACUBA, El salvador</v>
      </c>
    </row>
    <row r="3" spans="1:5" ht="14.4" hidden="1" x14ac:dyDescent="0.3">
      <c r="A3" s="6" t="s">
        <v>481</v>
      </c>
      <c r="B3" s="6" t="s">
        <v>482</v>
      </c>
      <c r="C3" s="6" t="s">
        <v>484</v>
      </c>
      <c r="D3" s="6" t="s">
        <v>481</v>
      </c>
      <c r="E3" s="16" t="str">
        <f t="shared" si="0"/>
        <v>AHUACHAPAN, JUJUTLA, El salvador</v>
      </c>
    </row>
    <row r="4" spans="1:5" ht="14.4" hidden="1" x14ac:dyDescent="0.3">
      <c r="A4" s="6" t="s">
        <v>481</v>
      </c>
      <c r="B4" s="6" t="s">
        <v>482</v>
      </c>
      <c r="C4" s="6" t="s">
        <v>485</v>
      </c>
      <c r="D4" s="6" t="s">
        <v>481</v>
      </c>
      <c r="E4" s="16" t="str">
        <f t="shared" si="0"/>
        <v>AHUACHAPAN, SAN FRANCISCO MENENDEZ, El salvador</v>
      </c>
    </row>
    <row r="5" spans="1:5" ht="14.4" hidden="1" x14ac:dyDescent="0.3">
      <c r="A5" s="6" t="s">
        <v>481</v>
      </c>
      <c r="B5" s="6" t="s">
        <v>486</v>
      </c>
      <c r="C5" s="6" t="s">
        <v>487</v>
      </c>
      <c r="D5" s="6" t="s">
        <v>481</v>
      </c>
      <c r="E5" s="16" t="str">
        <f t="shared" si="0"/>
        <v>SANTA ANA, EL PORVENIR, El salvador</v>
      </c>
    </row>
    <row r="6" spans="1:5" ht="14.4" hidden="1" x14ac:dyDescent="0.3">
      <c r="A6" s="6" t="s">
        <v>481</v>
      </c>
      <c r="B6" s="6" t="s">
        <v>486</v>
      </c>
      <c r="C6" s="6" t="s">
        <v>488</v>
      </c>
      <c r="D6" s="6" t="s">
        <v>481</v>
      </c>
      <c r="E6" s="16" t="str">
        <f t="shared" si="0"/>
        <v>SANTA ANA, SANTA ROSA GUACHIPILIN, El salvador</v>
      </c>
    </row>
    <row r="7" spans="1:5" ht="14.4" hidden="1" x14ac:dyDescent="0.3">
      <c r="A7" s="6" t="s">
        <v>481</v>
      </c>
      <c r="B7" s="6" t="s">
        <v>486</v>
      </c>
      <c r="C7" s="6" t="s">
        <v>489</v>
      </c>
      <c r="D7" s="6" t="s">
        <v>481</v>
      </c>
      <c r="E7" s="16" t="str">
        <f t="shared" si="0"/>
        <v>SANTA ANA, SANTIAGO DE LA FRONTERA, El salvador</v>
      </c>
    </row>
    <row r="8" spans="1:5" ht="14.4" hidden="1" x14ac:dyDescent="0.3">
      <c r="A8" s="6" t="s">
        <v>481</v>
      </c>
      <c r="B8" s="6" t="s">
        <v>490</v>
      </c>
      <c r="C8" s="6" t="s">
        <v>491</v>
      </c>
      <c r="D8" s="6" t="s">
        <v>481</v>
      </c>
      <c r="E8" s="16" t="str">
        <f t="shared" si="0"/>
        <v>SONSONATE, ACAJUTLA, El salvador</v>
      </c>
    </row>
    <row r="9" spans="1:5" ht="14.4" hidden="1" x14ac:dyDescent="0.3">
      <c r="A9" s="6" t="s">
        <v>481</v>
      </c>
      <c r="B9" s="6" t="s">
        <v>490</v>
      </c>
      <c r="C9" s="6" t="s">
        <v>492</v>
      </c>
      <c r="D9" s="6" t="s">
        <v>481</v>
      </c>
      <c r="E9" s="16" t="str">
        <f t="shared" si="0"/>
        <v>SONSONATE, ARMENIA, El salvador</v>
      </c>
    </row>
    <row r="10" spans="1:5" ht="14.4" hidden="1" x14ac:dyDescent="0.3">
      <c r="A10" s="6" t="s">
        <v>481</v>
      </c>
      <c r="B10" s="6" t="s">
        <v>490</v>
      </c>
      <c r="C10" s="6" t="s">
        <v>493</v>
      </c>
      <c r="D10" s="6" t="s">
        <v>481</v>
      </c>
      <c r="E10" s="16" t="str">
        <f t="shared" si="0"/>
        <v>SONSONATE, CALUCO, El salvador</v>
      </c>
    </row>
    <row r="11" spans="1:5" ht="14.4" hidden="1" x14ac:dyDescent="0.3">
      <c r="A11" s="6" t="s">
        <v>481</v>
      </c>
      <c r="B11" s="6" t="s">
        <v>490</v>
      </c>
      <c r="C11" s="6" t="s">
        <v>494</v>
      </c>
      <c r="D11" s="6" t="s">
        <v>481</v>
      </c>
      <c r="E11" s="16" t="str">
        <f t="shared" si="0"/>
        <v>SONSONATE, CUISNAHUAT, El salvador</v>
      </c>
    </row>
    <row r="12" spans="1:5" ht="14.4" hidden="1" x14ac:dyDescent="0.3">
      <c r="A12" s="6" t="s">
        <v>481</v>
      </c>
      <c r="B12" s="6" t="s">
        <v>482</v>
      </c>
      <c r="C12" s="6" t="s">
        <v>495</v>
      </c>
      <c r="D12" s="6" t="s">
        <v>481</v>
      </c>
      <c r="E12" s="16" t="str">
        <f t="shared" si="0"/>
        <v>AHUACHAPAN, GUAYMANGO, El salvador</v>
      </c>
    </row>
    <row r="13" spans="1:5" ht="14.4" hidden="1" x14ac:dyDescent="0.3">
      <c r="A13" s="6" t="s">
        <v>481</v>
      </c>
      <c r="B13" s="6" t="s">
        <v>482</v>
      </c>
      <c r="C13" s="6" t="s">
        <v>496</v>
      </c>
      <c r="D13" s="6" t="s">
        <v>481</v>
      </c>
      <c r="E13" s="16" t="str">
        <f t="shared" si="0"/>
        <v>AHUACHAPAN, SAN LORENZO, El salvador</v>
      </c>
    </row>
    <row r="14" spans="1:5" ht="14.4" hidden="1" x14ac:dyDescent="0.3">
      <c r="A14" s="6" t="s">
        <v>481</v>
      </c>
      <c r="B14" s="6" t="s">
        <v>482</v>
      </c>
      <c r="C14" s="6" t="s">
        <v>497</v>
      </c>
      <c r="D14" s="6" t="s">
        <v>481</v>
      </c>
      <c r="E14" s="16" t="str">
        <f t="shared" si="0"/>
        <v>AHUACHAPAN, SAN PEDRO PUXTLA, El salvador</v>
      </c>
    </row>
    <row r="15" spans="1:5" ht="14.4" hidden="1" x14ac:dyDescent="0.3">
      <c r="A15" s="6" t="s">
        <v>481</v>
      </c>
      <c r="B15" s="6" t="s">
        <v>486</v>
      </c>
      <c r="C15" s="6" t="s">
        <v>498</v>
      </c>
      <c r="D15" s="6" t="s">
        <v>481</v>
      </c>
      <c r="E15" s="16" t="str">
        <f t="shared" si="0"/>
        <v>SANTA ANA, MASAHUAT, El salvador</v>
      </c>
    </row>
    <row r="16" spans="1:5" ht="14.4" hidden="1" x14ac:dyDescent="0.3">
      <c r="A16" s="6" t="s">
        <v>481</v>
      </c>
      <c r="B16" s="6" t="s">
        <v>486</v>
      </c>
      <c r="C16" s="6" t="s">
        <v>499</v>
      </c>
      <c r="D16" s="6" t="s">
        <v>481</v>
      </c>
      <c r="E16" s="16" t="str">
        <f t="shared" si="0"/>
        <v>SANTA ANA, CANDELARIA DE LA FRONTERA, El salvador</v>
      </c>
    </row>
    <row r="17" spans="1:5" ht="14.4" hidden="1" x14ac:dyDescent="0.3">
      <c r="A17" s="6" t="s">
        <v>481</v>
      </c>
      <c r="B17" s="6" t="s">
        <v>486</v>
      </c>
      <c r="C17" s="6" t="s">
        <v>500</v>
      </c>
      <c r="D17" s="6" t="s">
        <v>481</v>
      </c>
      <c r="E17" s="16" t="str">
        <f t="shared" si="0"/>
        <v>SANTA ANA, COATEPEQUE, El salvador</v>
      </c>
    </row>
    <row r="18" spans="1:5" ht="14.4" hidden="1" x14ac:dyDescent="0.3">
      <c r="A18" s="6" t="s">
        <v>481</v>
      </c>
      <c r="B18" s="6" t="s">
        <v>486</v>
      </c>
      <c r="C18" s="6" t="s">
        <v>501</v>
      </c>
      <c r="D18" s="6" t="s">
        <v>481</v>
      </c>
      <c r="E18" s="16" t="str">
        <f t="shared" si="0"/>
        <v>SANTA ANA, TEXISTEPEQUE, El salvador</v>
      </c>
    </row>
    <row r="19" spans="1:5" ht="14.4" hidden="1" x14ac:dyDescent="0.3">
      <c r="A19" s="6" t="s">
        <v>481</v>
      </c>
      <c r="B19" s="6" t="s">
        <v>490</v>
      </c>
      <c r="C19" s="6" t="s">
        <v>502</v>
      </c>
      <c r="D19" s="6" t="s">
        <v>481</v>
      </c>
      <c r="E19" s="16" t="str">
        <f t="shared" si="0"/>
        <v>SONSONATE, IZALCO, El salvador</v>
      </c>
    </row>
    <row r="20" spans="1:5" ht="14.4" hidden="1" x14ac:dyDescent="0.3">
      <c r="A20" s="6" t="s">
        <v>481</v>
      </c>
      <c r="B20" s="6" t="s">
        <v>490</v>
      </c>
      <c r="C20" s="6" t="s">
        <v>503</v>
      </c>
      <c r="D20" s="6" t="s">
        <v>481</v>
      </c>
      <c r="E20" s="16" t="str">
        <f t="shared" si="0"/>
        <v>SONSONATE, JUAYUA, El salvador</v>
      </c>
    </row>
    <row r="21" spans="1:5" ht="14.4" hidden="1" x14ac:dyDescent="0.3">
      <c r="A21" s="6" t="s">
        <v>481</v>
      </c>
      <c r="B21" s="6" t="s">
        <v>490</v>
      </c>
      <c r="C21" s="6" t="s">
        <v>504</v>
      </c>
      <c r="D21" s="6" t="s">
        <v>481</v>
      </c>
      <c r="E21" s="16" t="str">
        <f t="shared" si="0"/>
        <v>SONSONATE, NAHUIZALCO, El salvador</v>
      </c>
    </row>
    <row r="22" spans="1:5" ht="14.4" hidden="1" x14ac:dyDescent="0.3">
      <c r="A22" s="6" t="s">
        <v>481</v>
      </c>
      <c r="B22" s="6" t="s">
        <v>482</v>
      </c>
      <c r="C22" s="6" t="s">
        <v>505</v>
      </c>
      <c r="D22" s="6" t="s">
        <v>481</v>
      </c>
      <c r="E22" s="16" t="str">
        <f t="shared" si="0"/>
        <v>AHUACHAPAN, CONCEPCION DE ATACO, El salvador</v>
      </c>
    </row>
    <row r="23" spans="1:5" ht="14.4" hidden="1" x14ac:dyDescent="0.3">
      <c r="A23" s="6" t="s">
        <v>481</v>
      </c>
      <c r="B23" s="6" t="s">
        <v>482</v>
      </c>
      <c r="C23" s="6" t="s">
        <v>506</v>
      </c>
      <c r="D23" s="6" t="s">
        <v>481</v>
      </c>
      <c r="E23" s="16" t="str">
        <f t="shared" si="0"/>
        <v>AHUACHAPAN, EL REFUGIO, El salvador</v>
      </c>
    </row>
    <row r="24" spans="1:5" ht="14.4" hidden="1" x14ac:dyDescent="0.3">
      <c r="A24" s="6" t="s">
        <v>481</v>
      </c>
      <c r="B24" s="6" t="s">
        <v>486</v>
      </c>
      <c r="C24" s="6" t="s">
        <v>507</v>
      </c>
      <c r="D24" s="6" t="s">
        <v>481</v>
      </c>
      <c r="E24" s="16" t="str">
        <f t="shared" si="0"/>
        <v>SANTA ANA, EL CONGO, El salvador</v>
      </c>
    </row>
    <row r="25" spans="1:5" ht="14.4" hidden="1" x14ac:dyDescent="0.3">
      <c r="A25" s="6" t="s">
        <v>481</v>
      </c>
      <c r="B25" s="6" t="s">
        <v>486</v>
      </c>
      <c r="C25" s="6" t="s">
        <v>508</v>
      </c>
      <c r="D25" s="6" t="s">
        <v>481</v>
      </c>
      <c r="E25" s="16" t="str">
        <f t="shared" si="0"/>
        <v>SANTA ANA, METAPAN, El salvador</v>
      </c>
    </row>
    <row r="26" spans="1:5" ht="14.4" hidden="1" x14ac:dyDescent="0.3">
      <c r="A26" s="6" t="s">
        <v>481</v>
      </c>
      <c r="B26" s="6" t="s">
        <v>486</v>
      </c>
      <c r="C26" s="6" t="s">
        <v>509</v>
      </c>
      <c r="D26" s="6" t="s">
        <v>481</v>
      </c>
      <c r="E26" s="16" t="str">
        <f t="shared" si="0"/>
        <v>SANTA ANA, SAN ANTONIO PAJONAL, El salvador</v>
      </c>
    </row>
    <row r="27" spans="1:5" ht="14.4" hidden="1" x14ac:dyDescent="0.3">
      <c r="A27" s="6" t="s">
        <v>481</v>
      </c>
      <c r="B27" s="6" t="s">
        <v>490</v>
      </c>
      <c r="C27" s="6" t="s">
        <v>510</v>
      </c>
      <c r="D27" s="6" t="s">
        <v>481</v>
      </c>
      <c r="E27" s="16" t="str">
        <f t="shared" si="0"/>
        <v>SONSONATE, NAHULINGO, El salvador</v>
      </c>
    </row>
    <row r="28" spans="1:5" ht="14.4" hidden="1" x14ac:dyDescent="0.3">
      <c r="A28" s="6" t="s">
        <v>481</v>
      </c>
      <c r="B28" s="6" t="s">
        <v>490</v>
      </c>
      <c r="C28" s="6" t="s">
        <v>511</v>
      </c>
      <c r="D28" s="6" t="s">
        <v>481</v>
      </c>
      <c r="E28" s="16" t="str">
        <f t="shared" si="0"/>
        <v>SONSONATE, SALCOATITAN, El salvador</v>
      </c>
    </row>
    <row r="29" spans="1:5" ht="14.4" hidden="1" x14ac:dyDescent="0.3">
      <c r="A29" s="6" t="s">
        <v>481</v>
      </c>
      <c r="B29" s="6" t="s">
        <v>490</v>
      </c>
      <c r="C29" s="6" t="s">
        <v>512</v>
      </c>
      <c r="D29" s="6" t="s">
        <v>481</v>
      </c>
      <c r="E29" s="16" t="str">
        <f t="shared" si="0"/>
        <v>SONSONATE, SAN ANTONIO DEL MONTE, El salvador</v>
      </c>
    </row>
    <row r="30" spans="1:5" ht="14.4" hidden="1" x14ac:dyDescent="0.3">
      <c r="A30" s="6" t="s">
        <v>481</v>
      </c>
      <c r="B30" s="6" t="s">
        <v>490</v>
      </c>
      <c r="C30" s="6" t="s">
        <v>513</v>
      </c>
      <c r="D30" s="6" t="s">
        <v>481</v>
      </c>
      <c r="E30" s="16" t="str">
        <f t="shared" si="0"/>
        <v>SONSONATE, SAN JULIAN, El salvador</v>
      </c>
    </row>
    <row r="31" spans="1:5" ht="14.4" hidden="1" x14ac:dyDescent="0.3">
      <c r="A31" s="6" t="s">
        <v>481</v>
      </c>
      <c r="B31" s="6" t="s">
        <v>490</v>
      </c>
      <c r="C31" s="6" t="s">
        <v>514</v>
      </c>
      <c r="D31" s="6" t="s">
        <v>481</v>
      </c>
      <c r="E31" s="16" t="str">
        <f t="shared" si="0"/>
        <v>SONSONATE, SANTA CATARINA MASAHUAT, El salvador</v>
      </c>
    </row>
    <row r="32" spans="1:5" ht="14.4" hidden="1" x14ac:dyDescent="0.3">
      <c r="A32" s="6" t="s">
        <v>481</v>
      </c>
      <c r="B32" s="6" t="s">
        <v>482</v>
      </c>
      <c r="C32" s="6" t="s">
        <v>515</v>
      </c>
      <c r="D32" s="6" t="s">
        <v>481</v>
      </c>
      <c r="E32" s="16" t="str">
        <f t="shared" si="0"/>
        <v>AHUACHAPAN, ATIQUIZAYA, El salvador</v>
      </c>
    </row>
    <row r="33" spans="1:5" ht="14.4" hidden="1" x14ac:dyDescent="0.3">
      <c r="A33" s="6" t="s">
        <v>481</v>
      </c>
      <c r="B33" s="6" t="s">
        <v>486</v>
      </c>
      <c r="C33" s="6" t="s">
        <v>486</v>
      </c>
      <c r="D33" s="6" t="s">
        <v>481</v>
      </c>
      <c r="E33" s="16" t="str">
        <f t="shared" si="0"/>
        <v>SANTA ANA, SANTA ANA, El salvador</v>
      </c>
    </row>
    <row r="34" spans="1:5" ht="14.4" hidden="1" x14ac:dyDescent="0.3">
      <c r="A34" s="6" t="s">
        <v>481</v>
      </c>
      <c r="B34" s="6" t="s">
        <v>490</v>
      </c>
      <c r="C34" s="6" t="s">
        <v>516</v>
      </c>
      <c r="D34" s="6" t="s">
        <v>481</v>
      </c>
      <c r="E34" s="16" t="str">
        <f t="shared" si="0"/>
        <v>SONSONATE, SANTA ISABEL ISHUATAN, El salvador</v>
      </c>
    </row>
    <row r="35" spans="1:5" ht="14.4" hidden="1" x14ac:dyDescent="0.3">
      <c r="A35" s="6" t="s">
        <v>481</v>
      </c>
      <c r="B35" s="6" t="s">
        <v>482</v>
      </c>
      <c r="C35" s="6" t="s">
        <v>517</v>
      </c>
      <c r="D35" s="6" t="s">
        <v>481</v>
      </c>
      <c r="E35" s="16" t="str">
        <f t="shared" si="0"/>
        <v>AHUACHAPAN, APANECA, El salvador</v>
      </c>
    </row>
    <row r="36" spans="1:5" ht="14.4" hidden="1" x14ac:dyDescent="0.3">
      <c r="A36" s="6" t="s">
        <v>481</v>
      </c>
      <c r="B36" s="6" t="s">
        <v>482</v>
      </c>
      <c r="C36" s="6" t="s">
        <v>482</v>
      </c>
      <c r="D36" s="6" t="s">
        <v>481</v>
      </c>
      <c r="E36" s="16" t="str">
        <f t="shared" si="0"/>
        <v>AHUACHAPAN, AHUACHAPAN, El salvador</v>
      </c>
    </row>
    <row r="37" spans="1:5" ht="14.4" hidden="1" x14ac:dyDescent="0.3">
      <c r="A37" s="6" t="s">
        <v>481</v>
      </c>
      <c r="B37" s="6" t="s">
        <v>482</v>
      </c>
      <c r="C37" s="6" t="s">
        <v>518</v>
      </c>
      <c r="D37" s="6" t="s">
        <v>481</v>
      </c>
      <c r="E37" s="16" t="str">
        <f t="shared" si="0"/>
        <v>AHUACHAPAN, TURIN, El salvador</v>
      </c>
    </row>
    <row r="38" spans="1:5" ht="14.4" hidden="1" x14ac:dyDescent="0.3">
      <c r="A38" s="6" t="s">
        <v>481</v>
      </c>
      <c r="B38" s="6" t="s">
        <v>486</v>
      </c>
      <c r="C38" s="6" t="s">
        <v>519</v>
      </c>
      <c r="D38" s="6" t="s">
        <v>481</v>
      </c>
      <c r="E38" s="16" t="str">
        <f t="shared" si="0"/>
        <v>SANTA ANA, CHALCHUAPA, El salvador</v>
      </c>
    </row>
    <row r="39" spans="1:5" ht="14.4" hidden="1" x14ac:dyDescent="0.3">
      <c r="A39" s="6" t="s">
        <v>481</v>
      </c>
      <c r="B39" s="6" t="s">
        <v>486</v>
      </c>
      <c r="C39" s="6" t="s">
        <v>520</v>
      </c>
      <c r="D39" s="6" t="s">
        <v>481</v>
      </c>
      <c r="E39" s="16" t="str">
        <f t="shared" si="0"/>
        <v>SANTA ANA, SAN SEBASTIAN SALITRILLO, El salvador</v>
      </c>
    </row>
    <row r="40" spans="1:5" ht="14.4" hidden="1" x14ac:dyDescent="0.3">
      <c r="A40" s="6" t="s">
        <v>481</v>
      </c>
      <c r="B40" s="6" t="s">
        <v>490</v>
      </c>
      <c r="C40" s="6" t="s">
        <v>521</v>
      </c>
      <c r="D40" s="6" t="s">
        <v>481</v>
      </c>
      <c r="E40" s="16" t="str">
        <f t="shared" si="0"/>
        <v>SONSONATE, SANTO DOMINGO DE GUZMAN, El salvador</v>
      </c>
    </row>
    <row r="41" spans="1:5" ht="14.4" hidden="1" x14ac:dyDescent="0.3">
      <c r="A41" s="6" t="s">
        <v>481</v>
      </c>
      <c r="B41" s="6" t="s">
        <v>490</v>
      </c>
      <c r="C41" s="6" t="s">
        <v>490</v>
      </c>
      <c r="D41" s="6" t="s">
        <v>481</v>
      </c>
      <c r="E41" s="16" t="str">
        <f t="shared" si="0"/>
        <v>SONSONATE, SONSONATE, El salvador</v>
      </c>
    </row>
    <row r="42" spans="1:5" ht="14.4" hidden="1" x14ac:dyDescent="0.3">
      <c r="A42" s="6" t="s">
        <v>481</v>
      </c>
      <c r="B42" s="6" t="s">
        <v>490</v>
      </c>
      <c r="C42" s="6" t="s">
        <v>522</v>
      </c>
      <c r="D42" s="6" t="s">
        <v>481</v>
      </c>
      <c r="E42" s="16" t="str">
        <f t="shared" si="0"/>
        <v>SONSONATE, SONZACATE, El salvador</v>
      </c>
    </row>
    <row r="43" spans="1:5" hidden="1" x14ac:dyDescent="0.25">
      <c r="A43" s="6" t="s">
        <v>45</v>
      </c>
      <c r="B43" s="6" t="s">
        <v>523</v>
      </c>
      <c r="C43" s="6" t="s">
        <v>524</v>
      </c>
      <c r="D43" s="6" t="s">
        <v>45</v>
      </c>
    </row>
    <row r="44" spans="1:5" ht="14.4" hidden="1" x14ac:dyDescent="0.3">
      <c r="A44" s="6" t="s">
        <v>45</v>
      </c>
      <c r="B44" s="6" t="s">
        <v>523</v>
      </c>
      <c r="C44" s="17" t="s">
        <v>523</v>
      </c>
      <c r="D44" s="6" t="s">
        <v>45</v>
      </c>
      <c r="E44" s="16" t="str">
        <f>B44&amp;", "&amp;C44&amp;", El salvador"</f>
        <v>LA LIBERTAD, LA LIBERTAD, El salvador</v>
      </c>
    </row>
    <row r="45" spans="1:5" ht="14.4" hidden="1" x14ac:dyDescent="0.3">
      <c r="A45" s="6" t="s">
        <v>45</v>
      </c>
      <c r="B45" s="6" t="s">
        <v>523</v>
      </c>
      <c r="C45" s="6" t="s">
        <v>525</v>
      </c>
      <c r="D45" s="6" t="s">
        <v>45</v>
      </c>
      <c r="E45" s="16" t="str">
        <f t="shared" ref="E45" si="1">B45&amp;", "&amp;C45&amp;", El salvador"</f>
        <v>LA LIBERTAD, SAN JOSE VILLANUEVA, El salvador</v>
      </c>
    </row>
    <row r="46" spans="1:5" ht="14.4" hidden="1" x14ac:dyDescent="0.3">
      <c r="A46" s="6" t="s">
        <v>45</v>
      </c>
      <c r="B46" s="6" t="s">
        <v>526</v>
      </c>
      <c r="C46" s="17" t="s">
        <v>527</v>
      </c>
      <c r="D46" s="6" t="s">
        <v>45</v>
      </c>
      <c r="E46" s="16" t="str">
        <f t="shared" ref="E46:E50" si="2">B46&amp;", "&amp;C46&amp;", El salvador"</f>
        <v>SAN SALVADOR, CUSCATANCINGO, El salvador</v>
      </c>
    </row>
    <row r="47" spans="1:5" ht="14.4" hidden="1" x14ac:dyDescent="0.3">
      <c r="A47" s="6" t="s">
        <v>45</v>
      </c>
      <c r="B47" s="6" t="s">
        <v>526</v>
      </c>
      <c r="C47" s="17" t="s">
        <v>528</v>
      </c>
      <c r="D47" s="6" t="s">
        <v>45</v>
      </c>
      <c r="E47" s="16" t="str">
        <f t="shared" si="2"/>
        <v>SAN SALVADOR, DELGADO, El salvador</v>
      </c>
    </row>
    <row r="48" spans="1:5" ht="14.4" hidden="1" x14ac:dyDescent="0.3">
      <c r="A48" s="6" t="s">
        <v>45</v>
      </c>
      <c r="B48" s="6" t="s">
        <v>523</v>
      </c>
      <c r="C48" s="6" t="s">
        <v>529</v>
      </c>
      <c r="D48" s="6" t="s">
        <v>45</v>
      </c>
      <c r="E48" s="16" t="str">
        <f t="shared" si="2"/>
        <v>LA LIBERTAD, ZARAGOZA, El salvador</v>
      </c>
    </row>
    <row r="49" spans="1:5" ht="14.4" hidden="1" x14ac:dyDescent="0.3">
      <c r="A49" s="6" t="s">
        <v>45</v>
      </c>
      <c r="B49" s="6" t="s">
        <v>526</v>
      </c>
      <c r="C49" s="6" t="s">
        <v>530</v>
      </c>
      <c r="D49" s="6" t="s">
        <v>45</v>
      </c>
      <c r="E49" s="16" t="str">
        <f t="shared" si="2"/>
        <v>SAN SALVADOR, AYUTUXTEPEQUE, El salvador</v>
      </c>
    </row>
    <row r="50" spans="1:5" ht="14.4" hidden="1" x14ac:dyDescent="0.3">
      <c r="A50" s="6" t="s">
        <v>45</v>
      </c>
      <c r="B50" s="6" t="s">
        <v>526</v>
      </c>
      <c r="C50" s="17" t="s">
        <v>531</v>
      </c>
      <c r="D50" s="6" t="s">
        <v>45</v>
      </c>
      <c r="E50" s="16" t="str">
        <f t="shared" si="2"/>
        <v>SAN SALVADOR, MEJICANOS, El salvador</v>
      </c>
    </row>
    <row r="51" spans="1:5" ht="14.4" hidden="1" x14ac:dyDescent="0.3">
      <c r="A51" s="6" t="s">
        <v>45</v>
      </c>
      <c r="B51" s="6" t="s">
        <v>523</v>
      </c>
      <c r="C51" s="6" t="s">
        <v>532</v>
      </c>
      <c r="D51" s="6" t="s">
        <v>45</v>
      </c>
      <c r="E51" s="16" t="str">
        <f>B51&amp;", "&amp;C51&amp;", El salvador"</f>
        <v>LA LIBERTAD, SANTA TECLA, El salvador</v>
      </c>
    </row>
    <row r="52" spans="1:5" hidden="1" x14ac:dyDescent="0.25">
      <c r="A52" s="6" t="s">
        <v>45</v>
      </c>
      <c r="B52" s="6" t="s">
        <v>526</v>
      </c>
      <c r="C52" s="17" t="s">
        <v>526</v>
      </c>
      <c r="D52" s="6" t="s">
        <v>45</v>
      </c>
    </row>
    <row r="53" spans="1:5" ht="14.4" hidden="1" x14ac:dyDescent="0.3">
      <c r="A53" s="6" t="s">
        <v>45</v>
      </c>
      <c r="B53" s="6" t="s">
        <v>523</v>
      </c>
      <c r="C53" s="17" t="s">
        <v>533</v>
      </c>
      <c r="D53" s="6" t="s">
        <v>45</v>
      </c>
      <c r="E53" s="16" t="str">
        <f>B53&amp;", "&amp;C53&amp;", El salvador"</f>
        <v>LA LIBERTAD, ANTIGUO CUSCATLAN, El salvador</v>
      </c>
    </row>
    <row r="54" spans="1:5" ht="14.4" hidden="1" x14ac:dyDescent="0.3">
      <c r="A54" s="6" t="s">
        <v>42</v>
      </c>
      <c r="B54" s="6" t="s">
        <v>526</v>
      </c>
      <c r="C54" s="6" t="s">
        <v>534</v>
      </c>
      <c r="D54" s="6" t="s">
        <v>42</v>
      </c>
      <c r="E54" s="16" t="str">
        <f t="shared" ref="E54:E56" si="3">B54&amp;", "&amp;C54&amp;", El salvador"</f>
        <v>SAN SALVADOR, ROSARIO DE MORA, El salvador</v>
      </c>
    </row>
    <row r="55" spans="1:5" ht="14.4" hidden="1" x14ac:dyDescent="0.3">
      <c r="A55" s="6" t="s">
        <v>42</v>
      </c>
      <c r="B55" s="6" t="s">
        <v>535</v>
      </c>
      <c r="C55" s="6" t="s">
        <v>536</v>
      </c>
      <c r="D55" s="6" t="s">
        <v>42</v>
      </c>
      <c r="E55" s="16" t="str">
        <f t="shared" si="3"/>
        <v>CUSCATLAN, CANDELARIA, El salvador</v>
      </c>
    </row>
    <row r="56" spans="1:5" ht="14.4" hidden="1" x14ac:dyDescent="0.3">
      <c r="A56" s="6" t="s">
        <v>42</v>
      </c>
      <c r="B56" s="6" t="s">
        <v>535</v>
      </c>
      <c r="C56" s="6" t="s">
        <v>537</v>
      </c>
      <c r="D56" s="6" t="s">
        <v>42</v>
      </c>
      <c r="E56" s="16" t="str">
        <f t="shared" si="3"/>
        <v>CUSCATLAN, EL CARMEN, El salvador</v>
      </c>
    </row>
    <row r="57" spans="1:5" hidden="1" x14ac:dyDescent="0.25">
      <c r="A57" s="6" t="s">
        <v>42</v>
      </c>
      <c r="B57" s="6" t="s">
        <v>535</v>
      </c>
      <c r="C57" s="6" t="s">
        <v>538</v>
      </c>
      <c r="D57" s="6" t="s">
        <v>42</v>
      </c>
    </row>
    <row r="58" spans="1:5" ht="14.4" hidden="1" x14ac:dyDescent="0.3">
      <c r="A58" s="6" t="s">
        <v>42</v>
      </c>
      <c r="B58" s="6" t="s">
        <v>535</v>
      </c>
      <c r="C58" s="6" t="s">
        <v>539</v>
      </c>
      <c r="D58" s="6" t="s">
        <v>42</v>
      </c>
      <c r="E58" s="16" t="str">
        <f t="shared" ref="E58:E60" si="4">B58&amp;", "&amp;C58&amp;", El salvador"</f>
        <v>CUSCATLAN, MONTE SAN JUAN, El salvador</v>
      </c>
    </row>
    <row r="59" spans="1:5" ht="14.4" hidden="1" x14ac:dyDescent="0.3">
      <c r="A59" s="6" t="s">
        <v>42</v>
      </c>
      <c r="B59" s="6" t="s">
        <v>535</v>
      </c>
      <c r="C59" s="6" t="s">
        <v>540</v>
      </c>
      <c r="D59" s="6" t="s">
        <v>42</v>
      </c>
      <c r="E59" s="16" t="str">
        <f t="shared" si="4"/>
        <v>CUSCATLAN, SAN CRISTOBAL, El salvador</v>
      </c>
    </row>
    <row r="60" spans="1:5" ht="14.4" hidden="1" x14ac:dyDescent="0.3">
      <c r="A60" s="6" t="s">
        <v>42</v>
      </c>
      <c r="B60" s="6" t="s">
        <v>535</v>
      </c>
      <c r="C60" s="6" t="s">
        <v>541</v>
      </c>
      <c r="D60" s="6" t="s">
        <v>42</v>
      </c>
      <c r="E60" s="16" t="str">
        <f t="shared" si="4"/>
        <v>CUSCATLAN, SAN JOSE GUAYABAL, El salvador</v>
      </c>
    </row>
    <row r="61" spans="1:5" ht="14.4" hidden="1" x14ac:dyDescent="0.3">
      <c r="A61" s="6" t="s">
        <v>42</v>
      </c>
      <c r="B61" s="6" t="s">
        <v>535</v>
      </c>
      <c r="C61" s="6" t="s">
        <v>542</v>
      </c>
      <c r="D61" s="6" t="s">
        <v>42</v>
      </c>
      <c r="E61" s="16" t="str">
        <f>B61&amp;", "&amp;C61&amp;", El salvador"</f>
        <v>CUSCATLAN, SAN PEDRO PERULAPAN, El salvador</v>
      </c>
    </row>
    <row r="62" spans="1:5" hidden="1" x14ac:dyDescent="0.25">
      <c r="A62" s="6" t="s">
        <v>42</v>
      </c>
      <c r="B62" s="6" t="s">
        <v>535</v>
      </c>
      <c r="C62" s="6" t="s">
        <v>543</v>
      </c>
      <c r="D62" s="6" t="s">
        <v>42</v>
      </c>
    </row>
    <row r="63" spans="1:5" ht="14.4" hidden="1" x14ac:dyDescent="0.3">
      <c r="A63" s="6" t="s">
        <v>42</v>
      </c>
      <c r="B63" s="6" t="s">
        <v>535</v>
      </c>
      <c r="C63" s="6" t="s">
        <v>544</v>
      </c>
      <c r="D63" s="6" t="s">
        <v>42</v>
      </c>
      <c r="E63" s="16" t="str">
        <f>B63&amp;", "&amp;C63&amp;", El salvador"</f>
        <v>CUSCATLAN, SAN RAMON, El salvador</v>
      </c>
    </row>
    <row r="64" spans="1:5" ht="14.4" hidden="1" x14ac:dyDescent="0.3">
      <c r="A64" s="6" t="s">
        <v>42</v>
      </c>
      <c r="B64" s="6" t="s">
        <v>535</v>
      </c>
      <c r="C64" s="6" t="s">
        <v>545</v>
      </c>
      <c r="D64" s="6" t="s">
        <v>42</v>
      </c>
      <c r="E64" s="16" t="str">
        <f t="shared" ref="E64:E65" si="5">B64&amp;", "&amp;C64&amp;", El salvador"</f>
        <v>CUSCATLAN, TENANCINGO, El salvador</v>
      </c>
    </row>
    <row r="65" spans="1:5" ht="14.4" hidden="1" x14ac:dyDescent="0.3">
      <c r="A65" s="6" t="s">
        <v>42</v>
      </c>
      <c r="B65" s="6" t="s">
        <v>535</v>
      </c>
      <c r="C65" s="6" t="s">
        <v>546</v>
      </c>
      <c r="D65" s="6" t="s">
        <v>42</v>
      </c>
      <c r="E65" s="16" t="str">
        <f t="shared" si="5"/>
        <v>CUSCATLAN, SUCHITOTO, El salvador</v>
      </c>
    </row>
    <row r="66" spans="1:5" hidden="1" x14ac:dyDescent="0.25">
      <c r="A66" s="6" t="s">
        <v>42</v>
      </c>
      <c r="B66" s="6" t="s">
        <v>526</v>
      </c>
      <c r="C66" s="6" t="s">
        <v>547</v>
      </c>
      <c r="D66" s="6" t="s">
        <v>42</v>
      </c>
    </row>
    <row r="67" spans="1:5" hidden="1" x14ac:dyDescent="0.25">
      <c r="A67" s="6" t="s">
        <v>42</v>
      </c>
      <c r="B67" s="6" t="s">
        <v>526</v>
      </c>
      <c r="C67" s="6" t="s">
        <v>548</v>
      </c>
      <c r="D67" s="6" t="s">
        <v>42</v>
      </c>
    </row>
    <row r="68" spans="1:5" ht="14.4" hidden="1" x14ac:dyDescent="0.3">
      <c r="A68" s="6" t="s">
        <v>42</v>
      </c>
      <c r="B68" s="6" t="s">
        <v>526</v>
      </c>
      <c r="C68" s="6" t="s">
        <v>549</v>
      </c>
      <c r="D68" s="6" t="s">
        <v>42</v>
      </c>
      <c r="E68" s="16" t="str">
        <f t="shared" ref="E68:E74" si="6">B68&amp;", "&amp;C68&amp;", El salvador"</f>
        <v>SAN SALVADOR, SAN MARTIN, El salvador</v>
      </c>
    </row>
    <row r="69" spans="1:5" ht="14.4" hidden="1" x14ac:dyDescent="0.3">
      <c r="A69" s="6" t="s">
        <v>42</v>
      </c>
      <c r="B69" s="6" t="s">
        <v>526</v>
      </c>
      <c r="C69" s="6" t="s">
        <v>550</v>
      </c>
      <c r="D69" s="6" t="s">
        <v>42</v>
      </c>
      <c r="E69" s="16" t="str">
        <f t="shared" si="6"/>
        <v>SAN SALVADOR, SANTO TOMAS, El salvador</v>
      </c>
    </row>
    <row r="70" spans="1:5" ht="14.4" hidden="1" x14ac:dyDescent="0.3">
      <c r="A70" s="6" t="s">
        <v>42</v>
      </c>
      <c r="B70" s="6" t="s">
        <v>535</v>
      </c>
      <c r="C70" s="6" t="s">
        <v>551</v>
      </c>
      <c r="D70" s="6" t="s">
        <v>42</v>
      </c>
      <c r="E70" s="16" t="str">
        <f t="shared" si="6"/>
        <v>CUSCATLAN, SANTA CRUZ ANALQUITO, El salvador</v>
      </c>
    </row>
    <row r="71" spans="1:5" ht="14.4" hidden="1" x14ac:dyDescent="0.3">
      <c r="A71" s="6" t="s">
        <v>42</v>
      </c>
      <c r="B71" s="6" t="s">
        <v>526</v>
      </c>
      <c r="C71" s="6" t="s">
        <v>552</v>
      </c>
      <c r="D71" s="6" t="s">
        <v>42</v>
      </c>
      <c r="E71" s="16" t="str">
        <f t="shared" si="6"/>
        <v>SAN SALVADOR, APOPA, El salvador</v>
      </c>
    </row>
    <row r="72" spans="1:5" ht="14.4" hidden="1" x14ac:dyDescent="0.3">
      <c r="A72" s="6" t="s">
        <v>42</v>
      </c>
      <c r="B72" s="6" t="s">
        <v>526</v>
      </c>
      <c r="C72" s="6" t="s">
        <v>553</v>
      </c>
      <c r="D72" s="6" t="s">
        <v>42</v>
      </c>
      <c r="E72" s="16" t="str">
        <f t="shared" si="6"/>
        <v>SAN SALVADOR, SAN MARCOS, El salvador</v>
      </c>
    </row>
    <row r="73" spans="1:5" ht="14.4" hidden="1" x14ac:dyDescent="0.3">
      <c r="A73" s="6" t="s">
        <v>42</v>
      </c>
      <c r="B73" s="6" t="s">
        <v>526</v>
      </c>
      <c r="C73" s="6" t="s">
        <v>554</v>
      </c>
      <c r="D73" s="6" t="s">
        <v>42</v>
      </c>
      <c r="E73" s="16" t="str">
        <f t="shared" si="6"/>
        <v>SAN SALVADOR, SOYAPANGO, El salvador</v>
      </c>
    </row>
    <row r="74" spans="1:5" ht="14.4" hidden="1" x14ac:dyDescent="0.3">
      <c r="A74" s="6" t="s">
        <v>42</v>
      </c>
      <c r="B74" s="6" t="s">
        <v>526</v>
      </c>
      <c r="C74" s="6" t="s">
        <v>555</v>
      </c>
      <c r="D74" s="6" t="s">
        <v>42</v>
      </c>
      <c r="E74" s="16" t="str">
        <f t="shared" si="6"/>
        <v>SAN SALVADOR, TONACATEPEQUE, El salvador</v>
      </c>
    </row>
    <row r="75" spans="1:5" hidden="1" x14ac:dyDescent="0.25">
      <c r="A75" s="6" t="s">
        <v>42</v>
      </c>
      <c r="B75" s="6" t="s">
        <v>526</v>
      </c>
      <c r="C75" s="6" t="s">
        <v>556</v>
      </c>
      <c r="D75" s="6" t="s">
        <v>42</v>
      </c>
    </row>
    <row r="76" spans="1:5" ht="14.4" hidden="1" x14ac:dyDescent="0.3">
      <c r="A76" s="6" t="s">
        <v>42</v>
      </c>
      <c r="B76" s="6" t="s">
        <v>535</v>
      </c>
      <c r="C76" s="6" t="s">
        <v>557</v>
      </c>
      <c r="D76" s="6" t="s">
        <v>42</v>
      </c>
      <c r="E76" s="16" t="str">
        <f t="shared" ref="E76:E78" si="7">B76&amp;", "&amp;C76&amp;", El salvador"</f>
        <v>CUSCATLAN, SAN BARTOLOME PERULAPIA, El salvador</v>
      </c>
    </row>
    <row r="77" spans="1:5" ht="14.4" hidden="1" x14ac:dyDescent="0.3">
      <c r="A77" s="6" t="s">
        <v>42</v>
      </c>
      <c r="B77" s="6" t="s">
        <v>535</v>
      </c>
      <c r="C77" s="6" t="s">
        <v>558</v>
      </c>
      <c r="D77" s="6" t="s">
        <v>42</v>
      </c>
      <c r="E77" s="16" t="str">
        <f t="shared" si="7"/>
        <v>CUSCATLAN, COJUTEPEQUE, El salvador</v>
      </c>
    </row>
    <row r="78" spans="1:5" ht="14.4" x14ac:dyDescent="0.3">
      <c r="A78" s="6" t="s">
        <v>559</v>
      </c>
      <c r="B78" s="6" t="s">
        <v>523</v>
      </c>
      <c r="C78" s="6" t="s">
        <v>560</v>
      </c>
      <c r="D78" s="6" t="s">
        <v>559</v>
      </c>
      <c r="E78" s="16" t="str">
        <f t="shared" si="7"/>
        <v>LA LIBERTAD, COMASAGUA, El salvador</v>
      </c>
    </row>
    <row r="79" spans="1:5" x14ac:dyDescent="0.25">
      <c r="A79" s="6" t="s">
        <v>559</v>
      </c>
      <c r="B79" s="6" t="s">
        <v>523</v>
      </c>
      <c r="C79" s="6" t="s">
        <v>561</v>
      </c>
      <c r="D79" s="6" t="s">
        <v>559</v>
      </c>
    </row>
    <row r="80" spans="1:5" ht="14.4" x14ac:dyDescent="0.3">
      <c r="A80" s="6" t="s">
        <v>559</v>
      </c>
      <c r="B80" s="6" t="s">
        <v>523</v>
      </c>
      <c r="C80" s="6" t="s">
        <v>562</v>
      </c>
      <c r="D80" s="6" t="s">
        <v>559</v>
      </c>
      <c r="E80" s="16" t="str">
        <f>B80&amp;", "&amp;C80&amp;", El salvador"</f>
        <v>LA LIBERTAD, TEOTEPEQUE, El salvador</v>
      </c>
    </row>
    <row r="81" spans="1:5" ht="14.4" x14ac:dyDescent="0.3">
      <c r="A81" s="6" t="s">
        <v>559</v>
      </c>
      <c r="B81" s="6" t="s">
        <v>523</v>
      </c>
      <c r="C81" s="6" t="s">
        <v>563</v>
      </c>
      <c r="D81" s="6" t="s">
        <v>559</v>
      </c>
      <c r="E81" s="16" t="str">
        <f>B81&amp;", "&amp;C81&amp;", El salvador"</f>
        <v>LA LIBERTAD, TEPECOYO, El salvador</v>
      </c>
    </row>
    <row r="82" spans="1:5" x14ac:dyDescent="0.25">
      <c r="A82" s="6" t="s">
        <v>559</v>
      </c>
      <c r="B82" s="6" t="s">
        <v>535</v>
      </c>
      <c r="C82" s="6" t="s">
        <v>564</v>
      </c>
      <c r="D82" s="6" t="s">
        <v>559</v>
      </c>
    </row>
    <row r="83" spans="1:5" ht="14.4" x14ac:dyDescent="0.3">
      <c r="A83" s="6" t="s">
        <v>559</v>
      </c>
      <c r="B83" s="6" t="s">
        <v>526</v>
      </c>
      <c r="C83" s="6" t="s">
        <v>565</v>
      </c>
      <c r="D83" s="6" t="s">
        <v>559</v>
      </c>
      <c r="E83" s="16" t="str">
        <f>B83&amp;", "&amp;C83&amp;", El salvador"</f>
        <v>SAN SALVADOR, EL PAISNAL, El salvador</v>
      </c>
    </row>
    <row r="84" spans="1:5" ht="14.4" x14ac:dyDescent="0.3">
      <c r="A84" s="6" t="s">
        <v>559</v>
      </c>
      <c r="B84" s="6" t="s">
        <v>566</v>
      </c>
      <c r="C84" s="6" t="s">
        <v>567</v>
      </c>
      <c r="D84" s="6" t="s">
        <v>559</v>
      </c>
      <c r="E84" s="16" t="str">
        <f t="shared" ref="E84" si="8">B84&amp;", "&amp;C84&amp;", El salvador"</f>
        <v>LA PAZ, SAN LUIS LA HERRADURA, El salvador</v>
      </c>
    </row>
    <row r="85" spans="1:5" x14ac:dyDescent="0.25">
      <c r="A85" s="6" t="s">
        <v>559</v>
      </c>
      <c r="B85" s="6" t="s">
        <v>568</v>
      </c>
      <c r="C85" s="6" t="s">
        <v>569</v>
      </c>
      <c r="D85" s="6" t="s">
        <v>559</v>
      </c>
    </row>
    <row r="86" spans="1:5" x14ac:dyDescent="0.25">
      <c r="A86" s="6" t="s">
        <v>559</v>
      </c>
      <c r="B86" s="6" t="s">
        <v>568</v>
      </c>
      <c r="C86" s="6" t="s">
        <v>496</v>
      </c>
      <c r="D86" s="6" t="s">
        <v>559</v>
      </c>
    </row>
    <row r="87" spans="1:5" x14ac:dyDescent="0.25">
      <c r="A87" s="6" t="s">
        <v>559</v>
      </c>
      <c r="B87" s="6" t="s">
        <v>568</v>
      </c>
      <c r="C87" s="6" t="s">
        <v>570</v>
      </c>
      <c r="D87" s="6" t="s">
        <v>559</v>
      </c>
    </row>
    <row r="88" spans="1:5" ht="14.4" x14ac:dyDescent="0.3">
      <c r="A88" s="6" t="s">
        <v>559</v>
      </c>
      <c r="B88" s="6" t="s">
        <v>523</v>
      </c>
      <c r="C88" s="6" t="s">
        <v>571</v>
      </c>
      <c r="D88" s="6" t="s">
        <v>559</v>
      </c>
      <c r="E88" s="16" t="str">
        <f t="shared" ref="E88:E92" si="9">B88&amp;", "&amp;C88&amp;", El salvador"</f>
        <v>LA LIBERTAD, JICALAPA, El salvador</v>
      </c>
    </row>
    <row r="89" spans="1:5" ht="14.4" x14ac:dyDescent="0.3">
      <c r="A89" s="6" t="s">
        <v>559</v>
      </c>
      <c r="B89" s="6" t="s">
        <v>523</v>
      </c>
      <c r="C89" s="6" t="s">
        <v>572</v>
      </c>
      <c r="D89" s="6" t="s">
        <v>559</v>
      </c>
      <c r="E89" s="16" t="str">
        <f t="shared" si="9"/>
        <v>LA LIBERTAD, SAN MATIAS, El salvador</v>
      </c>
    </row>
    <row r="90" spans="1:5" ht="14.4" x14ac:dyDescent="0.3">
      <c r="A90" s="6" t="s">
        <v>559</v>
      </c>
      <c r="B90" s="6" t="s">
        <v>523</v>
      </c>
      <c r="C90" s="6" t="s">
        <v>573</v>
      </c>
      <c r="D90" s="6" t="s">
        <v>559</v>
      </c>
      <c r="E90" s="16" t="str">
        <f t="shared" si="9"/>
        <v>LA LIBERTAD, TALNIQUE, El salvador</v>
      </c>
    </row>
    <row r="91" spans="1:5" ht="14.4" x14ac:dyDescent="0.3">
      <c r="A91" s="6" t="s">
        <v>559</v>
      </c>
      <c r="B91" s="6" t="s">
        <v>566</v>
      </c>
      <c r="C91" s="6" t="s">
        <v>574</v>
      </c>
      <c r="D91" s="6" t="s">
        <v>559</v>
      </c>
      <c r="E91" s="16" t="str">
        <f t="shared" si="9"/>
        <v>LA PAZ, SAN PEDRO NONUALCO, El salvador</v>
      </c>
    </row>
    <row r="92" spans="1:5" ht="14.4" x14ac:dyDescent="0.3">
      <c r="A92" s="6" t="s">
        <v>559</v>
      </c>
      <c r="B92" s="6" t="s">
        <v>523</v>
      </c>
      <c r="C92" s="6" t="s">
        <v>575</v>
      </c>
      <c r="D92" s="6" t="s">
        <v>559</v>
      </c>
      <c r="E92" s="16" t="str">
        <f t="shared" si="9"/>
        <v>LA LIBERTAD, CHILTIUPAN, El salvador</v>
      </c>
    </row>
    <row r="93" spans="1:5" ht="14.4" x14ac:dyDescent="0.3">
      <c r="A93" s="6" t="s">
        <v>559</v>
      </c>
      <c r="B93" s="6" t="s">
        <v>523</v>
      </c>
      <c r="C93" s="6" t="s">
        <v>576</v>
      </c>
      <c r="D93" s="6" t="s">
        <v>559</v>
      </c>
      <c r="E93" s="16" t="str">
        <f t="shared" ref="E93:E95" si="10">B93&amp;", "&amp;C93&amp;", El salvador"</f>
        <v>LA LIBERTAD, SAN PABLO TACACHICO, El salvador</v>
      </c>
    </row>
    <row r="94" spans="1:5" ht="14.4" x14ac:dyDescent="0.3">
      <c r="A94" s="6" t="s">
        <v>559</v>
      </c>
      <c r="B94" s="6" t="s">
        <v>523</v>
      </c>
      <c r="C94" s="6" t="s">
        <v>577</v>
      </c>
      <c r="D94" s="6" t="s">
        <v>559</v>
      </c>
      <c r="E94" s="16" t="str">
        <f t="shared" si="10"/>
        <v>LA LIBERTAD, SACACOYO, El salvador</v>
      </c>
    </row>
    <row r="95" spans="1:5" ht="14.4" x14ac:dyDescent="0.3">
      <c r="A95" s="6" t="s">
        <v>559</v>
      </c>
      <c r="B95" s="6" t="s">
        <v>566</v>
      </c>
      <c r="C95" s="6" t="s">
        <v>578</v>
      </c>
      <c r="D95" s="6" t="s">
        <v>559</v>
      </c>
      <c r="E95" s="16" t="str">
        <f t="shared" si="10"/>
        <v>LA PAZ, SAN PEDRO MASAHUAT, El salvador</v>
      </c>
    </row>
    <row r="96" spans="1:5" ht="14.4" x14ac:dyDescent="0.3">
      <c r="A96" s="6" t="s">
        <v>559</v>
      </c>
      <c r="B96" s="6" t="s">
        <v>566</v>
      </c>
      <c r="C96" s="6" t="s">
        <v>564</v>
      </c>
      <c r="D96" s="6" t="s">
        <v>559</v>
      </c>
      <c r="E96" s="16" t="str">
        <f t="shared" ref="E96:E97" si="11">B96&amp;", "&amp;C96&amp;", El salvador"</f>
        <v>LA PAZ, EL ROSARIO, El salvador</v>
      </c>
    </row>
    <row r="97" spans="1:5" ht="14.4" x14ac:dyDescent="0.3">
      <c r="A97" s="6" t="s">
        <v>559</v>
      </c>
      <c r="B97" s="6" t="s">
        <v>566</v>
      </c>
      <c r="C97" s="6" t="s">
        <v>579</v>
      </c>
      <c r="D97" s="6" t="s">
        <v>559</v>
      </c>
      <c r="E97" s="16" t="str">
        <f t="shared" si="11"/>
        <v>LA PAZ, SAN LUIS TALPA, El salvador</v>
      </c>
    </row>
    <row r="98" spans="1:5" ht="14.4" x14ac:dyDescent="0.3">
      <c r="A98" s="6" t="s">
        <v>559</v>
      </c>
      <c r="B98" s="6" t="s">
        <v>568</v>
      </c>
      <c r="C98" s="6" t="s">
        <v>580</v>
      </c>
      <c r="D98" s="6" t="s">
        <v>559</v>
      </c>
      <c r="E98" s="16" t="str">
        <f>B98&amp;", "&amp;C98&amp;", El salvador"</f>
        <v>SAN VICENTE, GUADALUPE, El salvador</v>
      </c>
    </row>
    <row r="99" spans="1:5" ht="14.4" x14ac:dyDescent="0.3">
      <c r="A99" s="6" t="s">
        <v>559</v>
      </c>
      <c r="B99" s="6" t="s">
        <v>568</v>
      </c>
      <c r="C99" s="6" t="s">
        <v>581</v>
      </c>
      <c r="D99" s="6" t="s">
        <v>559</v>
      </c>
      <c r="E99" s="16" t="str">
        <f t="shared" ref="E99:E107" si="12">B99&amp;", "&amp;C99&amp;", El salvador"</f>
        <v>SAN VICENTE, TECOLUCA, El salvador</v>
      </c>
    </row>
    <row r="100" spans="1:5" ht="14.4" x14ac:dyDescent="0.3">
      <c r="A100" s="6" t="s">
        <v>559</v>
      </c>
      <c r="B100" s="6" t="s">
        <v>566</v>
      </c>
      <c r="C100" s="6" t="s">
        <v>582</v>
      </c>
      <c r="D100" s="6" t="s">
        <v>559</v>
      </c>
      <c r="E100" s="16" t="str">
        <f t="shared" si="12"/>
        <v>LA PAZ, SAN ANTONIO MASAHUAT, El salvador</v>
      </c>
    </row>
    <row r="101" spans="1:5" ht="14.4" x14ac:dyDescent="0.3">
      <c r="A101" s="6" t="s">
        <v>559</v>
      </c>
      <c r="B101" s="6" t="s">
        <v>566</v>
      </c>
      <c r="C101" s="6" t="s">
        <v>583</v>
      </c>
      <c r="D101" s="6" t="s">
        <v>559</v>
      </c>
      <c r="E101" s="16" t="str">
        <f t="shared" si="12"/>
        <v>LA PAZ, SAN JUAN TEPEZONTES, El salvador</v>
      </c>
    </row>
    <row r="102" spans="1:5" ht="14.4" x14ac:dyDescent="0.3">
      <c r="A102" s="6" t="s">
        <v>559</v>
      </c>
      <c r="B102" s="6" t="s">
        <v>566</v>
      </c>
      <c r="C102" s="6" t="s">
        <v>584</v>
      </c>
      <c r="D102" s="6" t="s">
        <v>559</v>
      </c>
      <c r="E102" s="16" t="str">
        <f t="shared" si="12"/>
        <v>LA PAZ, TAPALHUACA, El salvador</v>
      </c>
    </row>
    <row r="103" spans="1:5" ht="14.4" x14ac:dyDescent="0.3">
      <c r="A103" s="6" t="s">
        <v>559</v>
      </c>
      <c r="B103" s="6" t="s">
        <v>566</v>
      </c>
      <c r="C103" s="6" t="s">
        <v>585</v>
      </c>
      <c r="D103" s="6" t="s">
        <v>559</v>
      </c>
      <c r="E103" s="16" t="str">
        <f t="shared" si="12"/>
        <v>LA PAZ, JERUSALEN, El salvador</v>
      </c>
    </row>
    <row r="104" spans="1:5" ht="14.4" x14ac:dyDescent="0.3">
      <c r="A104" s="6" t="s">
        <v>559</v>
      </c>
      <c r="B104" s="6" t="s">
        <v>566</v>
      </c>
      <c r="C104" s="6" t="s">
        <v>586</v>
      </c>
      <c r="D104" s="6" t="s">
        <v>559</v>
      </c>
      <c r="E104" s="16" t="str">
        <f t="shared" si="12"/>
        <v>LA PAZ, SAN EMIGDIO, El salvador</v>
      </c>
    </row>
    <row r="105" spans="1:5" ht="14.4" x14ac:dyDescent="0.3">
      <c r="A105" s="6" t="s">
        <v>559</v>
      </c>
      <c r="B105" s="6" t="s">
        <v>566</v>
      </c>
      <c r="C105" s="6" t="s">
        <v>587</v>
      </c>
      <c r="D105" s="6" t="s">
        <v>559</v>
      </c>
      <c r="E105" s="16" t="str">
        <f t="shared" si="12"/>
        <v>LA PAZ, SAN FRANCISCO CHINAMECA, El salvador</v>
      </c>
    </row>
    <row r="106" spans="1:5" ht="14.4" x14ac:dyDescent="0.3">
      <c r="A106" s="6" t="s">
        <v>559</v>
      </c>
      <c r="B106" s="6" t="s">
        <v>523</v>
      </c>
      <c r="C106" s="6" t="s">
        <v>588</v>
      </c>
      <c r="D106" s="6" t="s">
        <v>559</v>
      </c>
      <c r="E106" s="16" t="str">
        <f t="shared" si="12"/>
        <v>LA LIBERTAD, CIUDAD ARCE, El salvador</v>
      </c>
    </row>
    <row r="107" spans="1:5" ht="14.4" x14ac:dyDescent="0.3">
      <c r="A107" s="6" t="s">
        <v>559</v>
      </c>
      <c r="B107" s="6" t="s">
        <v>523</v>
      </c>
      <c r="C107" s="6" t="s">
        <v>589</v>
      </c>
      <c r="D107" s="6" t="s">
        <v>559</v>
      </c>
      <c r="E107" s="16" t="str">
        <f t="shared" si="12"/>
        <v>LA LIBERTAD, JAYAQUE, El salvador</v>
      </c>
    </row>
    <row r="108" spans="1:5" ht="14.4" x14ac:dyDescent="0.3">
      <c r="A108" s="6" t="s">
        <v>559</v>
      </c>
      <c r="B108" s="6" t="s">
        <v>526</v>
      </c>
      <c r="C108" s="6" t="s">
        <v>590</v>
      </c>
      <c r="D108" s="6" t="s">
        <v>559</v>
      </c>
      <c r="E108" s="16" t="str">
        <f t="shared" ref="E108:E109" si="13">B108&amp;", "&amp;C108&amp;", El salvador"</f>
        <v>SAN SALVADOR, GUAZAPA, El salvador</v>
      </c>
    </row>
    <row r="109" spans="1:5" ht="14.4" x14ac:dyDescent="0.3">
      <c r="A109" s="6" t="s">
        <v>559</v>
      </c>
      <c r="B109" s="6" t="s">
        <v>566</v>
      </c>
      <c r="C109" s="6" t="s">
        <v>591</v>
      </c>
      <c r="D109" s="6" t="s">
        <v>559</v>
      </c>
      <c r="E109" s="16" t="str">
        <f t="shared" si="13"/>
        <v>LA PAZ, SANTIAGO NONUALCO, El salvador</v>
      </c>
    </row>
    <row r="110" spans="1:5" ht="14.4" x14ac:dyDescent="0.3">
      <c r="A110" s="6" t="s">
        <v>559</v>
      </c>
      <c r="B110" s="6" t="s">
        <v>566</v>
      </c>
      <c r="C110" s="6" t="s">
        <v>592</v>
      </c>
      <c r="D110" s="6" t="s">
        <v>559</v>
      </c>
      <c r="E110" s="16" t="str">
        <f>B110&amp;", "&amp;C110&amp;", El salvador"</f>
        <v>LA PAZ, SAN RAFAEL OBRAJUELO, El salvador</v>
      </c>
    </row>
    <row r="111" spans="1:5" x14ac:dyDescent="0.25">
      <c r="A111" s="6" t="s">
        <v>559</v>
      </c>
      <c r="B111" s="6" t="s">
        <v>568</v>
      </c>
      <c r="C111" s="6" t="s">
        <v>593</v>
      </c>
      <c r="D111" s="6" t="s">
        <v>559</v>
      </c>
    </row>
    <row r="112" spans="1:5" ht="14.4" x14ac:dyDescent="0.3">
      <c r="A112" s="6" t="s">
        <v>559</v>
      </c>
      <c r="B112" s="6" t="s">
        <v>568</v>
      </c>
      <c r="C112" s="6" t="s">
        <v>594</v>
      </c>
      <c r="D112" s="6" t="s">
        <v>559</v>
      </c>
      <c r="E112" s="16" t="str">
        <f>B112&amp;", "&amp;C112&amp;", El salvador"</f>
        <v>SAN VICENTE, SAN CAYETANO ISTEPEQUE, El salvador</v>
      </c>
    </row>
    <row r="113" spans="1:5" ht="14.4" x14ac:dyDescent="0.3">
      <c r="A113" s="6" t="s">
        <v>559</v>
      </c>
      <c r="B113" s="6" t="s">
        <v>568</v>
      </c>
      <c r="C113" s="6" t="s">
        <v>595</v>
      </c>
      <c r="D113" s="6" t="s">
        <v>559</v>
      </c>
      <c r="E113" s="16" t="str">
        <f t="shared" ref="E113" si="14">B113&amp;", "&amp;C113&amp;", El salvador"</f>
        <v>SAN VICENTE, SANTO DOMINGO, El salvador</v>
      </c>
    </row>
    <row r="114" spans="1:5" ht="14.4" x14ac:dyDescent="0.3">
      <c r="A114" s="6" t="s">
        <v>559</v>
      </c>
      <c r="B114" s="6" t="s">
        <v>568</v>
      </c>
      <c r="C114" s="6" t="s">
        <v>596</v>
      </c>
      <c r="D114" s="6" t="s">
        <v>559</v>
      </c>
      <c r="E114" s="16" t="str">
        <f>B114&amp;", "&amp;C114&amp;", El salvador"</f>
        <v>SAN VICENTE, TEPETITAN, El salvador</v>
      </c>
    </row>
    <row r="115" spans="1:5" x14ac:dyDescent="0.25">
      <c r="A115" s="6" t="s">
        <v>559</v>
      </c>
      <c r="B115" s="6" t="s">
        <v>568</v>
      </c>
      <c r="C115" s="6" t="s">
        <v>597</v>
      </c>
      <c r="D115" s="6" t="s">
        <v>559</v>
      </c>
    </row>
    <row r="116" spans="1:5" ht="14.4" x14ac:dyDescent="0.3">
      <c r="A116" s="6" t="s">
        <v>559</v>
      </c>
      <c r="B116" s="6" t="s">
        <v>566</v>
      </c>
      <c r="C116" s="6" t="s">
        <v>598</v>
      </c>
      <c r="D116" s="6" t="s">
        <v>559</v>
      </c>
      <c r="E116" s="16" t="str">
        <f t="shared" ref="E116:E117" si="15">B116&amp;", "&amp;C116&amp;", El salvador"</f>
        <v>LA PAZ, MERCEDES LA CEIBA, El salvador</v>
      </c>
    </row>
    <row r="117" spans="1:5" ht="14.4" x14ac:dyDescent="0.3">
      <c r="A117" s="6" t="s">
        <v>559</v>
      </c>
      <c r="B117" s="6" t="s">
        <v>566</v>
      </c>
      <c r="C117" s="6" t="s">
        <v>599</v>
      </c>
      <c r="D117" s="6" t="s">
        <v>559</v>
      </c>
      <c r="E117" s="16" t="str">
        <f t="shared" si="15"/>
        <v>LA PAZ, SAN JUAN TALPA, El salvador</v>
      </c>
    </row>
    <row r="118" spans="1:5" x14ac:dyDescent="0.25">
      <c r="A118" s="6" t="s">
        <v>559</v>
      </c>
      <c r="B118" s="6" t="s">
        <v>566</v>
      </c>
      <c r="C118" s="6" t="s">
        <v>600</v>
      </c>
      <c r="D118" s="6" t="s">
        <v>559</v>
      </c>
    </row>
    <row r="119" spans="1:5" ht="14.4" x14ac:dyDescent="0.3">
      <c r="A119" s="6" t="s">
        <v>559</v>
      </c>
      <c r="B119" s="6" t="s">
        <v>566</v>
      </c>
      <c r="C119" s="6" t="s">
        <v>601</v>
      </c>
      <c r="D119" s="6" t="s">
        <v>559</v>
      </c>
      <c r="E119" s="16" t="str">
        <f t="shared" ref="E119:E124" si="16">B119&amp;", "&amp;C119&amp;", El salvador"</f>
        <v>LA PAZ, SANTA MARIA OSTUMA, El salvador</v>
      </c>
    </row>
    <row r="120" spans="1:5" ht="14.4" hidden="1" x14ac:dyDescent="0.3">
      <c r="A120" s="6" t="s">
        <v>42</v>
      </c>
      <c r="B120" s="6" t="s">
        <v>535</v>
      </c>
      <c r="C120" s="6" t="s">
        <v>602</v>
      </c>
      <c r="D120" s="6" t="s">
        <v>42</v>
      </c>
      <c r="E120" s="16" t="str">
        <f t="shared" si="16"/>
        <v>CUSCATLAN, SAN RAFAEL CEDROS, El salvador</v>
      </c>
    </row>
    <row r="121" spans="1:5" ht="14.4" x14ac:dyDescent="0.3">
      <c r="A121" s="6" t="s">
        <v>559</v>
      </c>
      <c r="B121" s="6" t="s">
        <v>526</v>
      </c>
      <c r="C121" s="6" t="s">
        <v>603</v>
      </c>
      <c r="D121" s="6" t="s">
        <v>559</v>
      </c>
      <c r="E121" s="16" t="str">
        <f t="shared" si="16"/>
        <v>SAN SALVADOR, AGUILARES, El salvador</v>
      </c>
    </row>
    <row r="122" spans="1:5" ht="14.4" x14ac:dyDescent="0.3">
      <c r="A122" s="6" t="s">
        <v>559</v>
      </c>
      <c r="B122" s="6" t="s">
        <v>526</v>
      </c>
      <c r="C122" s="6" t="s">
        <v>604</v>
      </c>
      <c r="D122" s="6" t="s">
        <v>559</v>
      </c>
      <c r="E122" s="16" t="str">
        <f t="shared" si="16"/>
        <v>SAN SALVADOR, NEJAPA, El salvador</v>
      </c>
    </row>
    <row r="123" spans="1:5" ht="14.4" x14ac:dyDescent="0.3">
      <c r="A123" s="6" t="s">
        <v>559</v>
      </c>
      <c r="B123" s="6" t="s">
        <v>523</v>
      </c>
      <c r="C123" s="6" t="s">
        <v>605</v>
      </c>
      <c r="D123" s="6" t="s">
        <v>559</v>
      </c>
      <c r="E123" s="16" t="str">
        <f t="shared" si="16"/>
        <v>LA LIBERTAD, QUEZALTEPEQUE, El salvador</v>
      </c>
    </row>
    <row r="124" spans="1:5" ht="14.4" x14ac:dyDescent="0.3">
      <c r="A124" s="6" t="s">
        <v>559</v>
      </c>
      <c r="B124" s="6" t="s">
        <v>523</v>
      </c>
      <c r="C124" s="6" t="s">
        <v>35</v>
      </c>
      <c r="D124" s="6" t="s">
        <v>559</v>
      </c>
      <c r="E124" s="16" t="str">
        <f t="shared" si="16"/>
        <v>LA LIBERTAD, COLON, El salvador</v>
      </c>
    </row>
    <row r="125" spans="1:5" x14ac:dyDescent="0.25">
      <c r="A125" s="6" t="s">
        <v>559</v>
      </c>
      <c r="B125" s="6" t="s">
        <v>523</v>
      </c>
      <c r="C125" s="6" t="s">
        <v>606</v>
      </c>
      <c r="D125" s="6" t="s">
        <v>559</v>
      </c>
    </row>
    <row r="126" spans="1:5" ht="14.4" x14ac:dyDescent="0.3">
      <c r="A126" s="6" t="s">
        <v>559</v>
      </c>
      <c r="B126" s="6" t="s">
        <v>566</v>
      </c>
      <c r="C126" s="6" t="s">
        <v>607</v>
      </c>
      <c r="D126" s="6" t="s">
        <v>559</v>
      </c>
      <c r="E126" s="16" t="str">
        <f t="shared" ref="E126:E127" si="17">B126&amp;", "&amp;C126&amp;", El salvador"</f>
        <v>LA PAZ, OLOCUILTA, El salvador</v>
      </c>
    </row>
    <row r="127" spans="1:5" ht="14.4" x14ac:dyDescent="0.3">
      <c r="A127" s="6" t="s">
        <v>559</v>
      </c>
      <c r="B127" s="6" t="s">
        <v>566</v>
      </c>
      <c r="C127" s="6" t="s">
        <v>608</v>
      </c>
      <c r="D127" s="6" t="s">
        <v>559</v>
      </c>
      <c r="E127" s="16" t="str">
        <f t="shared" si="17"/>
        <v>LA PAZ, SAN JUAN NONUALCO, El salvador</v>
      </c>
    </row>
    <row r="128" spans="1:5" x14ac:dyDescent="0.25">
      <c r="A128" s="6" t="s">
        <v>559</v>
      </c>
      <c r="B128" s="6" t="s">
        <v>566</v>
      </c>
      <c r="C128" s="6" t="s">
        <v>609</v>
      </c>
      <c r="D128" s="6" t="s">
        <v>559</v>
      </c>
    </row>
    <row r="129" spans="1:5" x14ac:dyDescent="0.25">
      <c r="A129" s="6" t="s">
        <v>559</v>
      </c>
      <c r="B129" s="6" t="s">
        <v>568</v>
      </c>
      <c r="C129" s="6" t="s">
        <v>610</v>
      </c>
      <c r="D129" s="6" t="s">
        <v>559</v>
      </c>
    </row>
    <row r="130" spans="1:5" ht="14.4" x14ac:dyDescent="0.3">
      <c r="A130" s="6" t="s">
        <v>559</v>
      </c>
      <c r="B130" s="6" t="s">
        <v>568</v>
      </c>
      <c r="C130" s="6" t="s">
        <v>611</v>
      </c>
      <c r="D130" s="6" t="s">
        <v>559</v>
      </c>
      <c r="E130" s="16" t="str">
        <f t="shared" ref="E130:E131" si="18">B130&amp;", "&amp;C130&amp;", El salvador"</f>
        <v>SAN VICENTE, SAN SEBASTIAN, El salvador</v>
      </c>
    </row>
    <row r="131" spans="1:5" ht="14.4" x14ac:dyDescent="0.3">
      <c r="A131" s="6" t="s">
        <v>559</v>
      </c>
      <c r="B131" s="6" t="s">
        <v>568</v>
      </c>
      <c r="C131" s="6" t="s">
        <v>568</v>
      </c>
      <c r="D131" s="6" t="s">
        <v>559</v>
      </c>
      <c r="E131" s="16" t="str">
        <f t="shared" si="18"/>
        <v>SAN VICENTE, SAN VICENTE, El salvador</v>
      </c>
    </row>
    <row r="132" spans="1:5" x14ac:dyDescent="0.25">
      <c r="A132" s="6" t="s">
        <v>559</v>
      </c>
      <c r="B132" s="6" t="s">
        <v>523</v>
      </c>
      <c r="C132" s="6" t="s">
        <v>612</v>
      </c>
      <c r="D132" s="6" t="s">
        <v>559</v>
      </c>
    </row>
    <row r="133" spans="1:5" x14ac:dyDescent="0.25">
      <c r="A133" s="6" t="s">
        <v>559</v>
      </c>
      <c r="B133" s="6" t="s">
        <v>566</v>
      </c>
      <c r="C133" s="6" t="s">
        <v>613</v>
      </c>
      <c r="D133" s="6" t="s">
        <v>559</v>
      </c>
    </row>
    <row r="134" spans="1:5" ht="14.4" x14ac:dyDescent="0.3">
      <c r="A134" s="6" t="s">
        <v>559</v>
      </c>
      <c r="B134" s="6" t="s">
        <v>566</v>
      </c>
      <c r="C134" s="6" t="s">
        <v>614</v>
      </c>
      <c r="D134" s="6" t="s">
        <v>559</v>
      </c>
      <c r="E134" s="16" t="str">
        <f t="shared" ref="E134:E197" si="19">B134&amp;", "&amp;C134&amp;", El salvador"</f>
        <v>LA PAZ, PARAISO DE OSORIO, El salvador</v>
      </c>
    </row>
    <row r="135" spans="1:5" ht="14.4" hidden="1" x14ac:dyDescent="0.3">
      <c r="A135" s="6" t="s">
        <v>99</v>
      </c>
      <c r="B135" s="6" t="s">
        <v>615</v>
      </c>
      <c r="C135" s="6" t="s">
        <v>616</v>
      </c>
      <c r="D135" s="6" t="s">
        <v>99</v>
      </c>
      <c r="E135" s="16" t="str">
        <f t="shared" si="19"/>
        <v>CABAÑAS, CINQUERA, El salvador</v>
      </c>
    </row>
    <row r="136" spans="1:5" ht="14.4" hidden="1" x14ac:dyDescent="0.3">
      <c r="A136" s="6" t="s">
        <v>99</v>
      </c>
      <c r="B136" s="6" t="s">
        <v>615</v>
      </c>
      <c r="C136" s="6" t="s">
        <v>617</v>
      </c>
      <c r="D136" s="6" t="s">
        <v>99</v>
      </c>
      <c r="E136" s="16" t="str">
        <f t="shared" si="19"/>
        <v>CABAÑAS, DOLORES, El salvador</v>
      </c>
    </row>
    <row r="137" spans="1:5" ht="14.4" hidden="1" x14ac:dyDescent="0.3">
      <c r="A137" s="6" t="s">
        <v>99</v>
      </c>
      <c r="B137" s="6" t="s">
        <v>615</v>
      </c>
      <c r="C137" s="6" t="s">
        <v>618</v>
      </c>
      <c r="D137" s="6" t="s">
        <v>99</v>
      </c>
      <c r="E137" s="16" t="str">
        <f t="shared" si="19"/>
        <v>CABAÑAS, GUACOTECTI, El salvador</v>
      </c>
    </row>
    <row r="138" spans="1:5" ht="14.4" hidden="1" x14ac:dyDescent="0.3">
      <c r="A138" s="6" t="s">
        <v>99</v>
      </c>
      <c r="B138" s="6" t="s">
        <v>615</v>
      </c>
      <c r="C138" s="6" t="s">
        <v>619</v>
      </c>
      <c r="D138" s="6" t="s">
        <v>99</v>
      </c>
      <c r="E138" s="16" t="str">
        <f t="shared" si="19"/>
        <v>CABAÑAS, ILOBASCO, El salvador</v>
      </c>
    </row>
    <row r="139" spans="1:5" ht="14.4" hidden="1" x14ac:dyDescent="0.3">
      <c r="A139" s="6" t="s">
        <v>99</v>
      </c>
      <c r="B139" s="6" t="s">
        <v>615</v>
      </c>
      <c r="C139" s="6" t="s">
        <v>620</v>
      </c>
      <c r="D139" s="6" t="s">
        <v>99</v>
      </c>
      <c r="E139" s="16" t="str">
        <f t="shared" si="19"/>
        <v>CABAÑAS, JUTIAPA, El salvador</v>
      </c>
    </row>
    <row r="140" spans="1:5" ht="14.4" hidden="1" x14ac:dyDescent="0.3">
      <c r="A140" s="6" t="s">
        <v>99</v>
      </c>
      <c r="B140" s="6" t="s">
        <v>615</v>
      </c>
      <c r="C140" s="6" t="s">
        <v>621</v>
      </c>
      <c r="D140" s="6" t="s">
        <v>99</v>
      </c>
      <c r="E140" s="16" t="str">
        <f t="shared" si="19"/>
        <v>CABAÑAS, SAN ISIDRO, El salvador</v>
      </c>
    </row>
    <row r="141" spans="1:5" ht="14.4" hidden="1" x14ac:dyDescent="0.3">
      <c r="A141" s="6" t="s">
        <v>99</v>
      </c>
      <c r="B141" s="6" t="s">
        <v>615</v>
      </c>
      <c r="C141" s="6" t="s">
        <v>622</v>
      </c>
      <c r="D141" s="6" t="s">
        <v>99</v>
      </c>
      <c r="E141" s="16" t="str">
        <f t="shared" si="19"/>
        <v>CABAÑAS, SENSUNTEPEQUE, El salvador</v>
      </c>
    </row>
    <row r="142" spans="1:5" ht="14.4" hidden="1" x14ac:dyDescent="0.3">
      <c r="A142" s="6" t="s">
        <v>99</v>
      </c>
      <c r="B142" s="6" t="s">
        <v>615</v>
      </c>
      <c r="C142" s="6" t="s">
        <v>623</v>
      </c>
      <c r="D142" s="6" t="s">
        <v>99</v>
      </c>
      <c r="E142" s="16" t="str">
        <f t="shared" si="19"/>
        <v>CABAÑAS, TEJUTEPEQUE, El salvador</v>
      </c>
    </row>
    <row r="143" spans="1:5" ht="14.4" hidden="1" x14ac:dyDescent="0.3">
      <c r="A143" s="6" t="s">
        <v>99</v>
      </c>
      <c r="B143" s="6" t="s">
        <v>615</v>
      </c>
      <c r="C143" s="6" t="s">
        <v>624</v>
      </c>
      <c r="D143" s="6" t="s">
        <v>99</v>
      </c>
      <c r="E143" s="16" t="str">
        <f t="shared" si="19"/>
        <v>CABAÑAS, VICTORIA, El salvador</v>
      </c>
    </row>
    <row r="144" spans="1:5" ht="14.4" hidden="1" x14ac:dyDescent="0.3">
      <c r="A144" s="6" t="s">
        <v>99</v>
      </c>
      <c r="B144" s="6" t="s">
        <v>625</v>
      </c>
      <c r="C144" s="6" t="s">
        <v>626</v>
      </c>
      <c r="D144" s="6" t="s">
        <v>99</v>
      </c>
      <c r="E144" s="16" t="str">
        <f t="shared" si="19"/>
        <v>CHALATENANGO, AGUA CALIENTE, El salvador</v>
      </c>
    </row>
    <row r="145" spans="1:5" ht="14.4" hidden="1" x14ac:dyDescent="0.3">
      <c r="A145" s="6" t="s">
        <v>99</v>
      </c>
      <c r="B145" s="6" t="s">
        <v>625</v>
      </c>
      <c r="C145" s="6" t="s">
        <v>627</v>
      </c>
      <c r="D145" s="6" t="s">
        <v>99</v>
      </c>
      <c r="E145" s="16" t="str">
        <f t="shared" si="19"/>
        <v>CHALATENANGO, ARCATAO, El salvador</v>
      </c>
    </row>
    <row r="146" spans="1:5" ht="14.4" hidden="1" x14ac:dyDescent="0.3">
      <c r="A146" s="6" t="s">
        <v>99</v>
      </c>
      <c r="B146" s="6" t="s">
        <v>625</v>
      </c>
      <c r="C146" s="6" t="s">
        <v>628</v>
      </c>
      <c r="D146" s="6" t="s">
        <v>99</v>
      </c>
      <c r="E146" s="16" t="str">
        <f t="shared" si="19"/>
        <v>CHALATENANGO, AZACUALPA, El salvador</v>
      </c>
    </row>
    <row r="147" spans="1:5" ht="14.4" hidden="1" x14ac:dyDescent="0.3">
      <c r="A147" s="6" t="s">
        <v>99</v>
      </c>
      <c r="B147" s="6" t="s">
        <v>625</v>
      </c>
      <c r="C147" s="6" t="s">
        <v>629</v>
      </c>
      <c r="D147" s="6" t="s">
        <v>99</v>
      </c>
      <c r="E147" s="16" t="str">
        <f t="shared" si="19"/>
        <v>CHALATENANGO, CANCASQUE, El salvador</v>
      </c>
    </row>
    <row r="148" spans="1:5" ht="14.4" hidden="1" x14ac:dyDescent="0.3">
      <c r="A148" s="6" t="s">
        <v>99</v>
      </c>
      <c r="B148" s="6" t="s">
        <v>625</v>
      </c>
      <c r="C148" s="6" t="s">
        <v>625</v>
      </c>
      <c r="D148" s="6" t="s">
        <v>99</v>
      </c>
      <c r="E148" s="16" t="str">
        <f t="shared" si="19"/>
        <v>CHALATENANGO, CHALATENANGO, El salvador</v>
      </c>
    </row>
    <row r="149" spans="1:5" ht="14.4" hidden="1" x14ac:dyDescent="0.3">
      <c r="A149" s="6" t="s">
        <v>99</v>
      </c>
      <c r="B149" s="6" t="s">
        <v>625</v>
      </c>
      <c r="C149" s="6" t="s">
        <v>630</v>
      </c>
      <c r="D149" s="6" t="s">
        <v>99</v>
      </c>
      <c r="E149" s="16" t="str">
        <f t="shared" si="19"/>
        <v>CHALATENANGO, CITALA, El salvador</v>
      </c>
    </row>
    <row r="150" spans="1:5" ht="14.4" hidden="1" x14ac:dyDescent="0.3">
      <c r="A150" s="6" t="s">
        <v>99</v>
      </c>
      <c r="B150" s="6" t="s">
        <v>625</v>
      </c>
      <c r="C150" s="6" t="s">
        <v>631</v>
      </c>
      <c r="D150" s="6" t="s">
        <v>99</v>
      </c>
      <c r="E150" s="16" t="str">
        <f t="shared" si="19"/>
        <v>CHALATENANGO, COMALAPA, El salvador</v>
      </c>
    </row>
    <row r="151" spans="1:5" ht="14.4" hidden="1" x14ac:dyDescent="0.3">
      <c r="A151" s="6" t="s">
        <v>99</v>
      </c>
      <c r="B151" s="6" t="s">
        <v>625</v>
      </c>
      <c r="C151" s="6" t="s">
        <v>632</v>
      </c>
      <c r="D151" s="6" t="s">
        <v>99</v>
      </c>
      <c r="E151" s="16" t="str">
        <f t="shared" si="19"/>
        <v>CHALATENANGO, CONCEPCION QUEZALTEPEQUE, El salvador</v>
      </c>
    </row>
    <row r="152" spans="1:5" ht="14.4" hidden="1" x14ac:dyDescent="0.3">
      <c r="A152" s="6" t="s">
        <v>99</v>
      </c>
      <c r="B152" s="6" t="s">
        <v>625</v>
      </c>
      <c r="C152" s="6" t="s">
        <v>633</v>
      </c>
      <c r="D152" s="6" t="s">
        <v>99</v>
      </c>
      <c r="E152" s="16" t="str">
        <f t="shared" si="19"/>
        <v>CHALATENANGO, DULCE NOMBRE DE MARIA, El salvador</v>
      </c>
    </row>
    <row r="153" spans="1:5" ht="14.4" hidden="1" x14ac:dyDescent="0.3">
      <c r="A153" s="6" t="s">
        <v>99</v>
      </c>
      <c r="B153" s="6" t="s">
        <v>625</v>
      </c>
      <c r="C153" s="6" t="s">
        <v>634</v>
      </c>
      <c r="D153" s="6" t="s">
        <v>99</v>
      </c>
      <c r="E153" s="16" t="str">
        <f t="shared" si="19"/>
        <v>CHALATENANGO, EL CARRIZAL, El salvador</v>
      </c>
    </row>
    <row r="154" spans="1:5" ht="14.4" hidden="1" x14ac:dyDescent="0.3">
      <c r="A154" s="6" t="s">
        <v>99</v>
      </c>
      <c r="B154" s="6" t="s">
        <v>625</v>
      </c>
      <c r="C154" s="6" t="s">
        <v>635</v>
      </c>
      <c r="D154" s="6" t="s">
        <v>99</v>
      </c>
      <c r="E154" s="16" t="str">
        <f t="shared" si="19"/>
        <v>CHALATENANGO, EL PARAISO, El salvador</v>
      </c>
    </row>
    <row r="155" spans="1:5" ht="14.4" hidden="1" x14ac:dyDescent="0.3">
      <c r="A155" s="6" t="s">
        <v>99</v>
      </c>
      <c r="B155" s="6" t="s">
        <v>625</v>
      </c>
      <c r="C155" s="6" t="s">
        <v>636</v>
      </c>
      <c r="D155" s="6" t="s">
        <v>99</v>
      </c>
      <c r="E155" s="16" t="str">
        <f t="shared" si="19"/>
        <v>CHALATENANGO, LA LAGUNA, El salvador</v>
      </c>
    </row>
    <row r="156" spans="1:5" ht="14.4" hidden="1" x14ac:dyDescent="0.3">
      <c r="A156" s="6" t="s">
        <v>99</v>
      </c>
      <c r="B156" s="6" t="s">
        <v>625</v>
      </c>
      <c r="C156" s="6" t="s">
        <v>637</v>
      </c>
      <c r="D156" s="6" t="s">
        <v>99</v>
      </c>
      <c r="E156" s="16" t="str">
        <f t="shared" si="19"/>
        <v>CHALATENANGO, LA PALMA, El salvador</v>
      </c>
    </row>
    <row r="157" spans="1:5" ht="14.4" hidden="1" x14ac:dyDescent="0.3">
      <c r="A157" s="6" t="s">
        <v>99</v>
      </c>
      <c r="B157" s="6" t="s">
        <v>625</v>
      </c>
      <c r="C157" s="6" t="s">
        <v>638</v>
      </c>
      <c r="D157" s="6" t="s">
        <v>99</v>
      </c>
      <c r="E157" s="16" t="str">
        <f t="shared" si="19"/>
        <v>CHALATENANGO, LA REINA, El salvador</v>
      </c>
    </row>
    <row r="158" spans="1:5" ht="14.4" hidden="1" x14ac:dyDescent="0.3">
      <c r="A158" s="6" t="s">
        <v>99</v>
      </c>
      <c r="B158" s="6" t="s">
        <v>625</v>
      </c>
      <c r="C158" s="6" t="s">
        <v>639</v>
      </c>
      <c r="D158" s="6" t="s">
        <v>99</v>
      </c>
      <c r="E158" s="16" t="str">
        <f t="shared" si="19"/>
        <v>CHALATENANGO, LAS FLORES, El salvador</v>
      </c>
    </row>
    <row r="159" spans="1:5" ht="14.4" hidden="1" x14ac:dyDescent="0.3">
      <c r="A159" s="6" t="s">
        <v>99</v>
      </c>
      <c r="B159" s="6" t="s">
        <v>625</v>
      </c>
      <c r="C159" s="6" t="s">
        <v>640</v>
      </c>
      <c r="D159" s="6" t="s">
        <v>99</v>
      </c>
      <c r="E159" s="16" t="str">
        <f t="shared" si="19"/>
        <v>CHALATENANGO, LAS VUELTAS, El salvador</v>
      </c>
    </row>
    <row r="160" spans="1:5" ht="14.4" hidden="1" x14ac:dyDescent="0.3">
      <c r="A160" s="6" t="s">
        <v>99</v>
      </c>
      <c r="B160" s="6" t="s">
        <v>625</v>
      </c>
      <c r="C160" s="6" t="s">
        <v>641</v>
      </c>
      <c r="D160" s="6" t="s">
        <v>99</v>
      </c>
      <c r="E160" s="16" t="str">
        <f t="shared" si="19"/>
        <v>CHALATENANGO, NOMBRE DE JESUS, El salvador</v>
      </c>
    </row>
    <row r="161" spans="1:5" ht="14.4" hidden="1" x14ac:dyDescent="0.3">
      <c r="A161" s="6" t="s">
        <v>99</v>
      </c>
      <c r="B161" s="6" t="s">
        <v>625</v>
      </c>
      <c r="C161" s="6" t="s">
        <v>642</v>
      </c>
      <c r="D161" s="6" t="s">
        <v>99</v>
      </c>
      <c r="E161" s="16" t="str">
        <f t="shared" si="19"/>
        <v>CHALATENANGO, NUEVA CONCEPCION, El salvador</v>
      </c>
    </row>
    <row r="162" spans="1:5" ht="14.4" hidden="1" x14ac:dyDescent="0.3">
      <c r="A162" s="6" t="s">
        <v>99</v>
      </c>
      <c r="B162" s="6" t="s">
        <v>625</v>
      </c>
      <c r="C162" s="6" t="s">
        <v>643</v>
      </c>
      <c r="D162" s="6" t="s">
        <v>99</v>
      </c>
      <c r="E162" s="16" t="str">
        <f t="shared" si="19"/>
        <v>CHALATENANGO, NUEVA TRINIDAD, El salvador</v>
      </c>
    </row>
    <row r="163" spans="1:5" ht="14.4" hidden="1" x14ac:dyDescent="0.3">
      <c r="A163" s="6" t="s">
        <v>99</v>
      </c>
      <c r="B163" s="6" t="s">
        <v>625</v>
      </c>
      <c r="C163" s="6" t="s">
        <v>644</v>
      </c>
      <c r="D163" s="6" t="s">
        <v>99</v>
      </c>
      <c r="E163" s="16" t="str">
        <f t="shared" si="19"/>
        <v>CHALATENANGO, OJOS DE AGUA, El salvador</v>
      </c>
    </row>
    <row r="164" spans="1:5" ht="14.4" hidden="1" x14ac:dyDescent="0.3">
      <c r="A164" s="6" t="s">
        <v>99</v>
      </c>
      <c r="B164" s="6" t="s">
        <v>625</v>
      </c>
      <c r="C164" s="6" t="s">
        <v>645</v>
      </c>
      <c r="D164" s="6" t="s">
        <v>99</v>
      </c>
      <c r="E164" s="16" t="str">
        <f t="shared" si="19"/>
        <v>CHALATENANGO, POTONICO, El salvador</v>
      </c>
    </row>
    <row r="165" spans="1:5" ht="14.4" hidden="1" x14ac:dyDescent="0.3">
      <c r="A165" s="6" t="s">
        <v>99</v>
      </c>
      <c r="B165" s="6" t="s">
        <v>625</v>
      </c>
      <c r="C165" s="6" t="s">
        <v>646</v>
      </c>
      <c r="D165" s="6" t="s">
        <v>99</v>
      </c>
      <c r="E165" s="16" t="str">
        <f t="shared" si="19"/>
        <v>CHALATENANGO, SAN ANTONIO DE LA CRUZ, El salvador</v>
      </c>
    </row>
    <row r="166" spans="1:5" ht="14.4" hidden="1" x14ac:dyDescent="0.3">
      <c r="A166" s="6" t="s">
        <v>99</v>
      </c>
      <c r="B166" s="6" t="s">
        <v>625</v>
      </c>
      <c r="C166" s="6" t="s">
        <v>647</v>
      </c>
      <c r="D166" s="6" t="s">
        <v>99</v>
      </c>
      <c r="E166" s="16" t="str">
        <f t="shared" si="19"/>
        <v>CHALATENANGO, SAN ANTONIO LOS RANCHOS, El salvador</v>
      </c>
    </row>
    <row r="167" spans="1:5" ht="14.4" hidden="1" x14ac:dyDescent="0.3">
      <c r="A167" s="6" t="s">
        <v>99</v>
      </c>
      <c r="B167" s="6" t="s">
        <v>625</v>
      </c>
      <c r="C167" s="6" t="s">
        <v>648</v>
      </c>
      <c r="D167" s="6" t="s">
        <v>99</v>
      </c>
      <c r="E167" s="16" t="str">
        <f t="shared" si="19"/>
        <v>CHALATENANGO, SAN FERNANDO, El salvador</v>
      </c>
    </row>
    <row r="168" spans="1:5" ht="14.4" hidden="1" x14ac:dyDescent="0.3">
      <c r="A168" s="6" t="s">
        <v>99</v>
      </c>
      <c r="B168" s="6" t="s">
        <v>625</v>
      </c>
      <c r="C168" s="6" t="s">
        <v>649</v>
      </c>
      <c r="D168" s="6" t="s">
        <v>99</v>
      </c>
      <c r="E168" s="16" t="str">
        <f t="shared" si="19"/>
        <v>CHALATENANGO, SAN FRANCISCO LEMPA, El salvador</v>
      </c>
    </row>
    <row r="169" spans="1:5" ht="14.4" hidden="1" x14ac:dyDescent="0.3">
      <c r="A169" s="6" t="s">
        <v>99</v>
      </c>
      <c r="B169" s="6" t="s">
        <v>625</v>
      </c>
      <c r="C169" s="6" t="s">
        <v>650</v>
      </c>
      <c r="D169" s="6" t="s">
        <v>99</v>
      </c>
      <c r="E169" s="16" t="str">
        <f t="shared" si="19"/>
        <v>CHALATENANGO, SAN FRANCISCO MORAZAN, El salvador</v>
      </c>
    </row>
    <row r="170" spans="1:5" ht="14.4" hidden="1" x14ac:dyDescent="0.3">
      <c r="A170" s="6" t="s">
        <v>99</v>
      </c>
      <c r="B170" s="6" t="s">
        <v>625</v>
      </c>
      <c r="C170" s="6" t="s">
        <v>651</v>
      </c>
      <c r="D170" s="6" t="s">
        <v>99</v>
      </c>
      <c r="E170" s="16" t="str">
        <f t="shared" si="19"/>
        <v>CHALATENANGO, SAN IGNACIO, El salvador</v>
      </c>
    </row>
    <row r="171" spans="1:5" ht="14.4" hidden="1" x14ac:dyDescent="0.3">
      <c r="A171" s="6" t="s">
        <v>99</v>
      </c>
      <c r="B171" s="6" t="s">
        <v>625</v>
      </c>
      <c r="C171" s="6" t="s">
        <v>652</v>
      </c>
      <c r="D171" s="6" t="s">
        <v>99</v>
      </c>
      <c r="E171" s="16" t="str">
        <f t="shared" si="19"/>
        <v>CHALATENANGO, SAN ISIDRO LABRADOR, El salvador</v>
      </c>
    </row>
    <row r="172" spans="1:5" ht="14.4" hidden="1" x14ac:dyDescent="0.3">
      <c r="A172" s="6" t="s">
        <v>99</v>
      </c>
      <c r="B172" s="6" t="s">
        <v>625</v>
      </c>
      <c r="C172" s="6" t="s">
        <v>653</v>
      </c>
      <c r="D172" s="6" t="s">
        <v>99</v>
      </c>
      <c r="E172" s="16" t="str">
        <f t="shared" si="19"/>
        <v>CHALATENANGO, SAN LUIS DEL CARMEN, El salvador</v>
      </c>
    </row>
    <row r="173" spans="1:5" ht="14.4" hidden="1" x14ac:dyDescent="0.3">
      <c r="A173" s="6" t="s">
        <v>99</v>
      </c>
      <c r="B173" s="6" t="s">
        <v>625</v>
      </c>
      <c r="C173" s="6" t="s">
        <v>654</v>
      </c>
      <c r="D173" s="6" t="s">
        <v>99</v>
      </c>
      <c r="E173" s="16" t="str">
        <f t="shared" si="19"/>
        <v>CHALATENANGO, SAN MIGUEL DE MERCEDES, El salvador</v>
      </c>
    </row>
    <row r="174" spans="1:5" ht="14.4" hidden="1" x14ac:dyDescent="0.3">
      <c r="A174" s="6" t="s">
        <v>99</v>
      </c>
      <c r="B174" s="6" t="s">
        <v>625</v>
      </c>
      <c r="C174" s="6" t="s">
        <v>655</v>
      </c>
      <c r="D174" s="6" t="s">
        <v>99</v>
      </c>
      <c r="E174" s="16" t="str">
        <f t="shared" si="19"/>
        <v>CHALATENANGO, SAN RAFAEL, El salvador</v>
      </c>
    </row>
    <row r="175" spans="1:5" ht="14.4" hidden="1" x14ac:dyDescent="0.3">
      <c r="A175" s="6" t="s">
        <v>99</v>
      </c>
      <c r="B175" s="6" t="s">
        <v>625</v>
      </c>
      <c r="C175" s="6" t="s">
        <v>656</v>
      </c>
      <c r="D175" s="6" t="s">
        <v>99</v>
      </c>
      <c r="E175" s="16" t="str">
        <f t="shared" si="19"/>
        <v>CHALATENANGO, SANTA RITA, El salvador</v>
      </c>
    </row>
    <row r="176" spans="1:5" ht="14.4" hidden="1" x14ac:dyDescent="0.3">
      <c r="A176" s="6" t="s">
        <v>99</v>
      </c>
      <c r="B176" s="6" t="s">
        <v>625</v>
      </c>
      <c r="C176" s="6" t="s">
        <v>657</v>
      </c>
      <c r="D176" s="6" t="s">
        <v>99</v>
      </c>
      <c r="E176" s="16" t="str">
        <f t="shared" si="19"/>
        <v>CHALATENANGO, TEJUTLA, El salvador</v>
      </c>
    </row>
    <row r="177" spans="1:5" ht="14.4" hidden="1" x14ac:dyDescent="0.3">
      <c r="A177" s="6" t="s">
        <v>99</v>
      </c>
      <c r="B177" s="6" t="s">
        <v>658</v>
      </c>
      <c r="C177" s="6" t="s">
        <v>659</v>
      </c>
      <c r="D177" s="6" t="s">
        <v>99</v>
      </c>
      <c r="E177" s="16" t="str">
        <f t="shared" si="19"/>
        <v>LA UNION, ANAMORÓS, El salvador</v>
      </c>
    </row>
    <row r="178" spans="1:5" ht="14.4" hidden="1" x14ac:dyDescent="0.3">
      <c r="A178" s="6" t="s">
        <v>99</v>
      </c>
      <c r="B178" s="6" t="s">
        <v>658</v>
      </c>
      <c r="C178" s="6" t="s">
        <v>660</v>
      </c>
      <c r="D178" s="6" t="s">
        <v>99</v>
      </c>
      <c r="E178" s="16" t="str">
        <f t="shared" si="19"/>
        <v>LA UNION, BOLIVAR, El salvador</v>
      </c>
    </row>
    <row r="179" spans="1:5" ht="14.4" hidden="1" x14ac:dyDescent="0.3">
      <c r="A179" s="6" t="s">
        <v>99</v>
      </c>
      <c r="B179" s="6" t="s">
        <v>658</v>
      </c>
      <c r="C179" s="6" t="s">
        <v>661</v>
      </c>
      <c r="D179" s="6" t="s">
        <v>99</v>
      </c>
      <c r="E179" s="16" t="str">
        <f t="shared" si="19"/>
        <v>LA UNION, CONCEPCION DE ORIENTE, El salvador</v>
      </c>
    </row>
    <row r="180" spans="1:5" ht="14.4" hidden="1" x14ac:dyDescent="0.3">
      <c r="A180" s="6" t="s">
        <v>99</v>
      </c>
      <c r="B180" s="6" t="s">
        <v>658</v>
      </c>
      <c r="C180" s="6" t="s">
        <v>662</v>
      </c>
      <c r="D180" s="6" t="s">
        <v>99</v>
      </c>
      <c r="E180" s="16" t="str">
        <f t="shared" si="19"/>
        <v>LA UNION, CONCHAGUA, El salvador</v>
      </c>
    </row>
    <row r="181" spans="1:5" ht="14.4" hidden="1" x14ac:dyDescent="0.3">
      <c r="A181" s="6" t="s">
        <v>99</v>
      </c>
      <c r="B181" s="6" t="s">
        <v>658</v>
      </c>
      <c r="C181" s="6" t="s">
        <v>537</v>
      </c>
      <c r="D181" s="6" t="s">
        <v>99</v>
      </c>
      <c r="E181" s="16" t="str">
        <f t="shared" si="19"/>
        <v>LA UNION, EL CARMEN, El salvador</v>
      </c>
    </row>
    <row r="182" spans="1:5" ht="14.4" hidden="1" x14ac:dyDescent="0.3">
      <c r="A182" s="6" t="s">
        <v>99</v>
      </c>
      <c r="B182" s="6" t="s">
        <v>658</v>
      </c>
      <c r="C182" s="6" t="s">
        <v>663</v>
      </c>
      <c r="D182" s="6" t="s">
        <v>99</v>
      </c>
      <c r="E182" s="16" t="str">
        <f t="shared" si="19"/>
        <v>LA UNION, EL SAUCE, El salvador</v>
      </c>
    </row>
    <row r="183" spans="1:5" ht="14.4" hidden="1" x14ac:dyDescent="0.3">
      <c r="A183" s="6" t="s">
        <v>99</v>
      </c>
      <c r="B183" s="6" t="s">
        <v>658</v>
      </c>
      <c r="C183" s="6" t="s">
        <v>664</v>
      </c>
      <c r="D183" s="6" t="s">
        <v>99</v>
      </c>
      <c r="E183" s="16" t="str">
        <f t="shared" si="19"/>
        <v>LA UNION, INTIPUCA, El salvador</v>
      </c>
    </row>
    <row r="184" spans="1:5" ht="14.4" hidden="1" x14ac:dyDescent="0.3">
      <c r="A184" s="6" t="s">
        <v>99</v>
      </c>
      <c r="B184" s="6" t="s">
        <v>658</v>
      </c>
      <c r="C184" s="6" t="s">
        <v>658</v>
      </c>
      <c r="D184" s="6" t="s">
        <v>99</v>
      </c>
      <c r="E184" s="16" t="str">
        <f t="shared" si="19"/>
        <v>LA UNION, LA UNION, El salvador</v>
      </c>
    </row>
    <row r="185" spans="1:5" ht="14.4" hidden="1" x14ac:dyDescent="0.3">
      <c r="A185" s="6" t="s">
        <v>99</v>
      </c>
      <c r="B185" s="6" t="s">
        <v>658</v>
      </c>
      <c r="C185" s="6" t="s">
        <v>665</v>
      </c>
      <c r="D185" s="6" t="s">
        <v>99</v>
      </c>
      <c r="E185" s="16" t="str">
        <f t="shared" si="19"/>
        <v>LA UNION, LISLIQUE, El salvador</v>
      </c>
    </row>
    <row r="186" spans="1:5" ht="14.4" hidden="1" x14ac:dyDescent="0.3">
      <c r="A186" s="6" t="s">
        <v>99</v>
      </c>
      <c r="B186" s="6" t="s">
        <v>658</v>
      </c>
      <c r="C186" s="6" t="s">
        <v>666</v>
      </c>
      <c r="D186" s="6" t="s">
        <v>99</v>
      </c>
      <c r="E186" s="16" t="str">
        <f t="shared" si="19"/>
        <v>LA UNION, MEANGUERA DEL GOLFO, El salvador</v>
      </c>
    </row>
    <row r="187" spans="1:5" ht="14.4" hidden="1" x14ac:dyDescent="0.3">
      <c r="A187" s="6" t="s">
        <v>99</v>
      </c>
      <c r="B187" s="6" t="s">
        <v>658</v>
      </c>
      <c r="C187" s="6" t="s">
        <v>667</v>
      </c>
      <c r="D187" s="6" t="s">
        <v>99</v>
      </c>
      <c r="E187" s="16" t="str">
        <f t="shared" si="19"/>
        <v>LA UNION, NUEVA ESPARTA, El salvador</v>
      </c>
    </row>
    <row r="188" spans="1:5" ht="14.4" hidden="1" x14ac:dyDescent="0.3">
      <c r="A188" s="6" t="s">
        <v>99</v>
      </c>
      <c r="B188" s="6" t="s">
        <v>658</v>
      </c>
      <c r="C188" s="6" t="s">
        <v>668</v>
      </c>
      <c r="D188" s="6" t="s">
        <v>99</v>
      </c>
      <c r="E188" s="16" t="str">
        <f t="shared" si="19"/>
        <v>LA UNION, PASAQUINA, El salvador</v>
      </c>
    </row>
    <row r="189" spans="1:5" ht="14.4" hidden="1" x14ac:dyDescent="0.3">
      <c r="A189" s="6" t="s">
        <v>99</v>
      </c>
      <c r="B189" s="6" t="s">
        <v>658</v>
      </c>
      <c r="C189" s="6" t="s">
        <v>669</v>
      </c>
      <c r="D189" s="6" t="s">
        <v>99</v>
      </c>
      <c r="E189" s="16" t="str">
        <f t="shared" si="19"/>
        <v>LA UNION, POLOROS, El salvador</v>
      </c>
    </row>
    <row r="190" spans="1:5" ht="14.4" hidden="1" x14ac:dyDescent="0.3">
      <c r="A190" s="6" t="s">
        <v>99</v>
      </c>
      <c r="B190" s="6" t="s">
        <v>658</v>
      </c>
      <c r="C190" s="6" t="s">
        <v>670</v>
      </c>
      <c r="D190" s="6" t="s">
        <v>99</v>
      </c>
      <c r="E190" s="16" t="str">
        <f t="shared" si="19"/>
        <v>LA UNION, SAN ALEJO, El salvador</v>
      </c>
    </row>
    <row r="191" spans="1:5" ht="14.4" hidden="1" x14ac:dyDescent="0.3">
      <c r="A191" s="6" t="s">
        <v>99</v>
      </c>
      <c r="B191" s="6" t="s">
        <v>658</v>
      </c>
      <c r="C191" s="6" t="s">
        <v>671</v>
      </c>
      <c r="D191" s="6" t="s">
        <v>99</v>
      </c>
      <c r="E191" s="16" t="str">
        <f t="shared" si="19"/>
        <v>LA UNION, SAN JOSE, El salvador</v>
      </c>
    </row>
    <row r="192" spans="1:5" ht="14.4" hidden="1" x14ac:dyDescent="0.3">
      <c r="A192" s="6" t="s">
        <v>99</v>
      </c>
      <c r="B192" s="6" t="s">
        <v>658</v>
      </c>
      <c r="C192" s="6" t="s">
        <v>672</v>
      </c>
      <c r="D192" s="6" t="s">
        <v>99</v>
      </c>
      <c r="E192" s="16" t="str">
        <f t="shared" si="19"/>
        <v>LA UNION, SANTA ROSA DE LIMA, El salvador</v>
      </c>
    </row>
    <row r="193" spans="1:5" ht="14.4" hidden="1" x14ac:dyDescent="0.3">
      <c r="A193" s="6" t="s">
        <v>99</v>
      </c>
      <c r="B193" s="6" t="s">
        <v>658</v>
      </c>
      <c r="C193" s="6" t="s">
        <v>673</v>
      </c>
      <c r="D193" s="6" t="s">
        <v>99</v>
      </c>
      <c r="E193" s="16" t="str">
        <f t="shared" si="19"/>
        <v>LA UNION, YAYANTIQUE, El salvador</v>
      </c>
    </row>
    <row r="194" spans="1:5" ht="14.4" hidden="1" x14ac:dyDescent="0.3">
      <c r="A194" s="6" t="s">
        <v>99</v>
      </c>
      <c r="B194" s="6" t="s">
        <v>658</v>
      </c>
      <c r="C194" s="6" t="s">
        <v>674</v>
      </c>
      <c r="D194" s="6" t="s">
        <v>99</v>
      </c>
      <c r="E194" s="16" t="str">
        <f t="shared" si="19"/>
        <v>LA UNION, YUCUAIQUIN, El salvador</v>
      </c>
    </row>
    <row r="195" spans="1:5" ht="14.4" hidden="1" x14ac:dyDescent="0.3">
      <c r="A195" s="6" t="s">
        <v>99</v>
      </c>
      <c r="B195" s="6" t="s">
        <v>675</v>
      </c>
      <c r="C195" s="6" t="s">
        <v>676</v>
      </c>
      <c r="D195" s="6" t="s">
        <v>99</v>
      </c>
      <c r="E195" s="16" t="str">
        <f t="shared" si="19"/>
        <v>MORAZÁN, ARAMBALA, El salvador</v>
      </c>
    </row>
    <row r="196" spans="1:5" ht="14.4" hidden="1" x14ac:dyDescent="0.3">
      <c r="A196" s="6" t="s">
        <v>99</v>
      </c>
      <c r="B196" s="6" t="s">
        <v>675</v>
      </c>
      <c r="C196" s="6" t="s">
        <v>677</v>
      </c>
      <c r="D196" s="6" t="s">
        <v>99</v>
      </c>
      <c r="E196" s="16" t="str">
        <f t="shared" si="19"/>
        <v>MORAZÁN, CACAOPERA, El salvador</v>
      </c>
    </row>
    <row r="197" spans="1:5" ht="14.4" hidden="1" x14ac:dyDescent="0.3">
      <c r="A197" s="6" t="s">
        <v>99</v>
      </c>
      <c r="B197" s="6" t="s">
        <v>675</v>
      </c>
      <c r="C197" s="6" t="s">
        <v>678</v>
      </c>
      <c r="D197" s="6" t="s">
        <v>99</v>
      </c>
      <c r="E197" s="16" t="str">
        <f t="shared" si="19"/>
        <v>MORAZÁN, CHILANGA, El salvador</v>
      </c>
    </row>
    <row r="198" spans="1:5" ht="14.4" hidden="1" x14ac:dyDescent="0.3">
      <c r="A198" s="6" t="s">
        <v>99</v>
      </c>
      <c r="B198" s="6" t="s">
        <v>675</v>
      </c>
      <c r="C198" s="6" t="s">
        <v>679</v>
      </c>
      <c r="D198" s="6" t="s">
        <v>99</v>
      </c>
      <c r="E198" s="16" t="str">
        <f t="shared" ref="E198:E261" si="20">B198&amp;", "&amp;C198&amp;", El salvador"</f>
        <v>MORAZÁN, CORINTO, El salvador</v>
      </c>
    </row>
    <row r="199" spans="1:5" ht="14.4" hidden="1" x14ac:dyDescent="0.3">
      <c r="A199" s="6" t="s">
        <v>99</v>
      </c>
      <c r="B199" s="6" t="s">
        <v>675</v>
      </c>
      <c r="C199" s="6" t="s">
        <v>680</v>
      </c>
      <c r="D199" s="6" t="s">
        <v>99</v>
      </c>
      <c r="E199" s="16" t="str">
        <f t="shared" si="20"/>
        <v>MORAZÁN, DELICIAS DE CONCEPCION, El salvador</v>
      </c>
    </row>
    <row r="200" spans="1:5" ht="14.4" hidden="1" x14ac:dyDescent="0.3">
      <c r="A200" s="6" t="s">
        <v>99</v>
      </c>
      <c r="B200" s="6" t="s">
        <v>675</v>
      </c>
      <c r="C200" s="6" t="s">
        <v>681</v>
      </c>
      <c r="D200" s="6" t="s">
        <v>99</v>
      </c>
      <c r="E200" s="16" t="str">
        <f t="shared" si="20"/>
        <v>MORAZÁN, EL DIVISADERO, El salvador</v>
      </c>
    </row>
    <row r="201" spans="1:5" ht="14.4" hidden="1" x14ac:dyDescent="0.3">
      <c r="A201" s="6" t="s">
        <v>99</v>
      </c>
      <c r="B201" s="6" t="s">
        <v>675</v>
      </c>
      <c r="C201" s="6" t="s">
        <v>564</v>
      </c>
      <c r="D201" s="6" t="s">
        <v>99</v>
      </c>
      <c r="E201" s="16" t="str">
        <f t="shared" si="20"/>
        <v>MORAZÁN, EL ROSARIO, El salvador</v>
      </c>
    </row>
    <row r="202" spans="1:5" ht="14.4" hidden="1" x14ac:dyDescent="0.3">
      <c r="A202" s="6" t="s">
        <v>99</v>
      </c>
      <c r="B202" s="6" t="s">
        <v>675</v>
      </c>
      <c r="C202" s="6" t="s">
        <v>682</v>
      </c>
      <c r="D202" s="6" t="s">
        <v>99</v>
      </c>
      <c r="E202" s="16" t="str">
        <f t="shared" si="20"/>
        <v>MORAZÁN, GUALOCOCTI, El salvador</v>
      </c>
    </row>
    <row r="203" spans="1:5" ht="14.4" hidden="1" x14ac:dyDescent="0.3">
      <c r="A203" s="6" t="s">
        <v>99</v>
      </c>
      <c r="B203" s="6" t="s">
        <v>675</v>
      </c>
      <c r="C203" s="6" t="s">
        <v>683</v>
      </c>
      <c r="D203" s="6" t="s">
        <v>99</v>
      </c>
      <c r="E203" s="16" t="str">
        <f t="shared" si="20"/>
        <v>MORAZÁN, GUATAJIAGUA, El salvador</v>
      </c>
    </row>
    <row r="204" spans="1:5" ht="14.4" hidden="1" x14ac:dyDescent="0.3">
      <c r="A204" s="6" t="s">
        <v>99</v>
      </c>
      <c r="B204" s="6" t="s">
        <v>675</v>
      </c>
      <c r="C204" s="6" t="s">
        <v>684</v>
      </c>
      <c r="D204" s="6" t="s">
        <v>99</v>
      </c>
      <c r="E204" s="16" t="str">
        <f t="shared" si="20"/>
        <v>MORAZÁN, JOATECA, El salvador</v>
      </c>
    </row>
    <row r="205" spans="1:5" ht="14.4" hidden="1" x14ac:dyDescent="0.3">
      <c r="A205" s="6" t="s">
        <v>99</v>
      </c>
      <c r="B205" s="6" t="s">
        <v>675</v>
      </c>
      <c r="C205" s="6" t="s">
        <v>685</v>
      </c>
      <c r="D205" s="6" t="s">
        <v>99</v>
      </c>
      <c r="E205" s="16" t="str">
        <f t="shared" si="20"/>
        <v>MORAZÁN, JOCOAITIQUE, El salvador</v>
      </c>
    </row>
    <row r="206" spans="1:5" ht="14.4" hidden="1" x14ac:dyDescent="0.3">
      <c r="A206" s="6" t="s">
        <v>99</v>
      </c>
      <c r="B206" s="6" t="s">
        <v>675</v>
      </c>
      <c r="C206" s="6" t="s">
        <v>686</v>
      </c>
      <c r="D206" s="6" t="s">
        <v>99</v>
      </c>
      <c r="E206" s="16" t="str">
        <f t="shared" si="20"/>
        <v>MORAZÁN, JOCORO, El salvador</v>
      </c>
    </row>
    <row r="207" spans="1:5" ht="14.4" hidden="1" x14ac:dyDescent="0.3">
      <c r="A207" s="6" t="s">
        <v>99</v>
      </c>
      <c r="B207" s="6" t="s">
        <v>675</v>
      </c>
      <c r="C207" s="6" t="s">
        <v>687</v>
      </c>
      <c r="D207" s="6" t="s">
        <v>99</v>
      </c>
      <c r="E207" s="16" t="str">
        <f t="shared" si="20"/>
        <v>MORAZÁN, LOLOTIQUILLO, El salvador</v>
      </c>
    </row>
    <row r="208" spans="1:5" ht="14.4" hidden="1" x14ac:dyDescent="0.3">
      <c r="A208" s="6" t="s">
        <v>99</v>
      </c>
      <c r="B208" s="6" t="s">
        <v>675</v>
      </c>
      <c r="C208" s="6" t="s">
        <v>688</v>
      </c>
      <c r="D208" s="6" t="s">
        <v>99</v>
      </c>
      <c r="E208" s="16" t="str">
        <f t="shared" si="20"/>
        <v>MORAZÁN, MEANGUERA, El salvador</v>
      </c>
    </row>
    <row r="209" spans="1:5" ht="14.4" hidden="1" x14ac:dyDescent="0.3">
      <c r="A209" s="6" t="s">
        <v>99</v>
      </c>
      <c r="B209" s="6" t="s">
        <v>675</v>
      </c>
      <c r="C209" s="6" t="s">
        <v>689</v>
      </c>
      <c r="D209" s="6" t="s">
        <v>99</v>
      </c>
      <c r="E209" s="16" t="str">
        <f t="shared" si="20"/>
        <v>MORAZÁN, OSICALA, El salvador</v>
      </c>
    </row>
    <row r="210" spans="1:5" ht="14.4" hidden="1" x14ac:dyDescent="0.3">
      <c r="A210" s="6" t="s">
        <v>99</v>
      </c>
      <c r="B210" s="6" t="s">
        <v>675</v>
      </c>
      <c r="C210" s="6" t="s">
        <v>690</v>
      </c>
      <c r="D210" s="6" t="s">
        <v>99</v>
      </c>
      <c r="E210" s="16" t="str">
        <f t="shared" si="20"/>
        <v>MORAZÁN, PERQUIN, El salvador</v>
      </c>
    </row>
    <row r="211" spans="1:5" ht="14.4" hidden="1" x14ac:dyDescent="0.3">
      <c r="A211" s="6" t="s">
        <v>99</v>
      </c>
      <c r="B211" s="6" t="s">
        <v>675</v>
      </c>
      <c r="C211" s="6" t="s">
        <v>55</v>
      </c>
      <c r="D211" s="6" t="s">
        <v>99</v>
      </c>
      <c r="E211" s="16" t="str">
        <f t="shared" si="20"/>
        <v>MORAZÁN, SAN CARLOS, El salvador</v>
      </c>
    </row>
    <row r="212" spans="1:5" ht="14.4" hidden="1" x14ac:dyDescent="0.3">
      <c r="A212" s="6" t="s">
        <v>99</v>
      </c>
      <c r="B212" s="6" t="s">
        <v>675</v>
      </c>
      <c r="C212" s="6" t="s">
        <v>648</v>
      </c>
      <c r="D212" s="6" t="s">
        <v>99</v>
      </c>
      <c r="E212" s="16" t="str">
        <f t="shared" si="20"/>
        <v>MORAZÁN, SAN FERNANDO, El salvador</v>
      </c>
    </row>
    <row r="213" spans="1:5" ht="14.4" hidden="1" x14ac:dyDescent="0.3">
      <c r="A213" s="6" t="s">
        <v>99</v>
      </c>
      <c r="B213" s="6" t="s">
        <v>675</v>
      </c>
      <c r="C213" s="6" t="s">
        <v>691</v>
      </c>
      <c r="D213" s="6" t="s">
        <v>99</v>
      </c>
      <c r="E213" s="16" t="str">
        <f t="shared" si="20"/>
        <v>MORAZÁN, SAN FRANCISCO GOTERA, El salvador</v>
      </c>
    </row>
    <row r="214" spans="1:5" ht="14.4" hidden="1" x14ac:dyDescent="0.3">
      <c r="A214" s="6" t="s">
        <v>99</v>
      </c>
      <c r="B214" s="6" t="s">
        <v>675</v>
      </c>
      <c r="C214" s="6" t="s">
        <v>621</v>
      </c>
      <c r="D214" s="6" t="s">
        <v>99</v>
      </c>
      <c r="E214" s="16" t="str">
        <f t="shared" si="20"/>
        <v>MORAZÁN, SAN ISIDRO, El salvador</v>
      </c>
    </row>
    <row r="215" spans="1:5" ht="14.4" hidden="1" x14ac:dyDescent="0.3">
      <c r="A215" s="6" t="s">
        <v>99</v>
      </c>
      <c r="B215" s="6" t="s">
        <v>675</v>
      </c>
      <c r="C215" s="6" t="s">
        <v>692</v>
      </c>
      <c r="D215" s="6" t="s">
        <v>99</v>
      </c>
      <c r="E215" s="16" t="str">
        <f t="shared" si="20"/>
        <v>MORAZÁN, SAN SIMON, El salvador</v>
      </c>
    </row>
    <row r="216" spans="1:5" ht="14.4" hidden="1" x14ac:dyDescent="0.3">
      <c r="A216" s="6" t="s">
        <v>99</v>
      </c>
      <c r="B216" s="6" t="s">
        <v>675</v>
      </c>
      <c r="C216" s="6" t="s">
        <v>693</v>
      </c>
      <c r="D216" s="6" t="s">
        <v>99</v>
      </c>
      <c r="E216" s="16" t="str">
        <f t="shared" si="20"/>
        <v>MORAZÁN, SENSEMBRA, El salvador</v>
      </c>
    </row>
    <row r="217" spans="1:5" ht="14.4" hidden="1" x14ac:dyDescent="0.3">
      <c r="A217" s="6" t="s">
        <v>99</v>
      </c>
      <c r="B217" s="6" t="s">
        <v>675</v>
      </c>
      <c r="C217" s="6" t="s">
        <v>694</v>
      </c>
      <c r="D217" s="6" t="s">
        <v>99</v>
      </c>
      <c r="E217" s="16" t="str">
        <f t="shared" si="20"/>
        <v>MORAZÁN, SOCIEDAD, El salvador</v>
      </c>
    </row>
    <row r="218" spans="1:5" ht="14.4" hidden="1" x14ac:dyDescent="0.3">
      <c r="A218" s="6" t="s">
        <v>99</v>
      </c>
      <c r="B218" s="6" t="s">
        <v>675</v>
      </c>
      <c r="C218" s="6" t="s">
        <v>695</v>
      </c>
      <c r="D218" s="6" t="s">
        <v>99</v>
      </c>
      <c r="E218" s="16" t="str">
        <f t="shared" si="20"/>
        <v>MORAZÁN, TOROLA, El salvador</v>
      </c>
    </row>
    <row r="219" spans="1:5" ht="14.4" hidden="1" x14ac:dyDescent="0.3">
      <c r="A219" s="6" t="s">
        <v>99</v>
      </c>
      <c r="B219" s="6" t="s">
        <v>675</v>
      </c>
      <c r="C219" s="6" t="s">
        <v>696</v>
      </c>
      <c r="D219" s="6" t="s">
        <v>99</v>
      </c>
      <c r="E219" s="16" t="str">
        <f t="shared" si="20"/>
        <v>MORAZÁN, YAMABAL, El salvador</v>
      </c>
    </row>
    <row r="220" spans="1:5" ht="14.4" hidden="1" x14ac:dyDescent="0.3">
      <c r="A220" s="6" t="s">
        <v>99</v>
      </c>
      <c r="B220" s="6" t="s">
        <v>675</v>
      </c>
      <c r="C220" s="6" t="s">
        <v>697</v>
      </c>
      <c r="D220" s="6" t="s">
        <v>99</v>
      </c>
      <c r="E220" s="16" t="str">
        <f t="shared" si="20"/>
        <v>MORAZÁN, YOLOAIQUIN, El salvador</v>
      </c>
    </row>
    <row r="221" spans="1:5" ht="14.4" hidden="1" x14ac:dyDescent="0.3">
      <c r="A221" s="6" t="s">
        <v>99</v>
      </c>
      <c r="B221" s="6" t="s">
        <v>698</v>
      </c>
      <c r="C221" s="6" t="s">
        <v>699</v>
      </c>
      <c r="D221" s="6" t="s">
        <v>99</v>
      </c>
      <c r="E221" s="16" t="str">
        <f t="shared" si="20"/>
        <v>SAN MIGUEL, CAROLINA, El salvador</v>
      </c>
    </row>
    <row r="222" spans="1:5" ht="14.4" hidden="1" x14ac:dyDescent="0.3">
      <c r="A222" s="6" t="s">
        <v>99</v>
      </c>
      <c r="B222" s="6" t="s">
        <v>698</v>
      </c>
      <c r="C222" s="6" t="s">
        <v>700</v>
      </c>
      <c r="D222" s="6" t="s">
        <v>99</v>
      </c>
      <c r="E222" s="16" t="str">
        <f t="shared" si="20"/>
        <v>SAN MIGUEL, CHAPELTIQUE, El salvador</v>
      </c>
    </row>
    <row r="223" spans="1:5" ht="14.4" hidden="1" x14ac:dyDescent="0.3">
      <c r="A223" s="6" t="s">
        <v>99</v>
      </c>
      <c r="B223" s="6" t="s">
        <v>698</v>
      </c>
      <c r="C223" s="6" t="s">
        <v>701</v>
      </c>
      <c r="D223" s="6" t="s">
        <v>99</v>
      </c>
      <c r="E223" s="16" t="str">
        <f t="shared" si="20"/>
        <v>SAN MIGUEL, CHINAMECA, El salvador</v>
      </c>
    </row>
    <row r="224" spans="1:5" ht="14.4" hidden="1" x14ac:dyDescent="0.3">
      <c r="A224" s="6" t="s">
        <v>99</v>
      </c>
      <c r="B224" s="6" t="s">
        <v>698</v>
      </c>
      <c r="C224" s="6" t="s">
        <v>702</v>
      </c>
      <c r="D224" s="6" t="s">
        <v>99</v>
      </c>
      <c r="E224" s="16" t="str">
        <f t="shared" si="20"/>
        <v>SAN MIGUEL, CHIRILAGUA, El salvador</v>
      </c>
    </row>
    <row r="225" spans="1:5" ht="14.4" hidden="1" x14ac:dyDescent="0.3">
      <c r="A225" s="6" t="s">
        <v>99</v>
      </c>
      <c r="B225" s="6" t="s">
        <v>698</v>
      </c>
      <c r="C225" s="6" t="s">
        <v>703</v>
      </c>
      <c r="D225" s="6" t="s">
        <v>99</v>
      </c>
      <c r="E225" s="16" t="str">
        <f t="shared" si="20"/>
        <v>SAN MIGUEL, CIUDAD BARRIOS, El salvador</v>
      </c>
    </row>
    <row r="226" spans="1:5" ht="14.4" hidden="1" x14ac:dyDescent="0.3">
      <c r="A226" s="6" t="s">
        <v>99</v>
      </c>
      <c r="B226" s="6" t="s">
        <v>698</v>
      </c>
      <c r="C226" s="6" t="s">
        <v>704</v>
      </c>
      <c r="D226" s="6" t="s">
        <v>99</v>
      </c>
      <c r="E226" s="16" t="str">
        <f t="shared" si="20"/>
        <v>SAN MIGUEL, COMACARAN, El salvador</v>
      </c>
    </row>
    <row r="227" spans="1:5" ht="14.4" hidden="1" x14ac:dyDescent="0.3">
      <c r="A227" s="6" t="s">
        <v>99</v>
      </c>
      <c r="B227" s="6" t="s">
        <v>698</v>
      </c>
      <c r="C227" s="6" t="s">
        <v>705</v>
      </c>
      <c r="D227" s="6" t="s">
        <v>99</v>
      </c>
      <c r="E227" s="16" t="str">
        <f t="shared" si="20"/>
        <v>SAN MIGUEL, EL TRANSITO, El salvador</v>
      </c>
    </row>
    <row r="228" spans="1:5" ht="14.4" hidden="1" x14ac:dyDescent="0.3">
      <c r="A228" s="6" t="s">
        <v>99</v>
      </c>
      <c r="B228" s="6" t="s">
        <v>698</v>
      </c>
      <c r="C228" s="6" t="s">
        <v>706</v>
      </c>
      <c r="D228" s="6" t="s">
        <v>99</v>
      </c>
      <c r="E228" s="16" t="str">
        <f t="shared" si="20"/>
        <v>SAN MIGUEL, LOLOTIQUE, El salvador</v>
      </c>
    </row>
    <row r="229" spans="1:5" ht="14.4" hidden="1" x14ac:dyDescent="0.3">
      <c r="A229" s="6" t="s">
        <v>99</v>
      </c>
      <c r="B229" s="6" t="s">
        <v>698</v>
      </c>
      <c r="C229" s="6" t="s">
        <v>707</v>
      </c>
      <c r="D229" s="6" t="s">
        <v>99</v>
      </c>
      <c r="E229" s="16" t="str">
        <f t="shared" si="20"/>
        <v>SAN MIGUEL, MONCAGUA, El salvador</v>
      </c>
    </row>
    <row r="230" spans="1:5" ht="14.4" hidden="1" x14ac:dyDescent="0.3">
      <c r="A230" s="6" t="s">
        <v>99</v>
      </c>
      <c r="B230" s="6" t="s">
        <v>698</v>
      </c>
      <c r="C230" s="6" t="s">
        <v>708</v>
      </c>
      <c r="D230" s="6" t="s">
        <v>99</v>
      </c>
      <c r="E230" s="16" t="str">
        <f t="shared" si="20"/>
        <v>SAN MIGUEL, NUEVA GUADALUPE, El salvador</v>
      </c>
    </row>
    <row r="231" spans="1:5" ht="14.4" hidden="1" x14ac:dyDescent="0.3">
      <c r="A231" s="6" t="s">
        <v>99</v>
      </c>
      <c r="B231" s="6" t="s">
        <v>698</v>
      </c>
      <c r="C231" s="6" t="s">
        <v>709</v>
      </c>
      <c r="D231" s="6" t="s">
        <v>99</v>
      </c>
      <c r="E231" s="16" t="str">
        <f t="shared" si="20"/>
        <v>SAN MIGUEL, NUEVO EDEN DE SAN JUAN, El salvador</v>
      </c>
    </row>
    <row r="232" spans="1:5" ht="14.4" hidden="1" x14ac:dyDescent="0.3">
      <c r="A232" s="6" t="s">
        <v>99</v>
      </c>
      <c r="B232" s="6" t="s">
        <v>698</v>
      </c>
      <c r="C232" s="6" t="s">
        <v>710</v>
      </c>
      <c r="D232" s="6" t="s">
        <v>99</v>
      </c>
      <c r="E232" s="16" t="str">
        <f t="shared" si="20"/>
        <v>SAN MIGUEL, QUELEPA, El salvador</v>
      </c>
    </row>
    <row r="233" spans="1:5" ht="14.4" hidden="1" x14ac:dyDescent="0.3">
      <c r="A233" s="6" t="s">
        <v>99</v>
      </c>
      <c r="B233" s="6" t="s">
        <v>698</v>
      </c>
      <c r="C233" s="6" t="s">
        <v>711</v>
      </c>
      <c r="D233" s="6" t="s">
        <v>99</v>
      </c>
      <c r="E233" s="16" t="str">
        <f t="shared" si="20"/>
        <v>SAN MIGUEL, SAN ANTONIO, El salvador</v>
      </c>
    </row>
    <row r="234" spans="1:5" ht="14.4" hidden="1" x14ac:dyDescent="0.3">
      <c r="A234" s="6" t="s">
        <v>99</v>
      </c>
      <c r="B234" s="6" t="s">
        <v>698</v>
      </c>
      <c r="C234" s="6" t="s">
        <v>712</v>
      </c>
      <c r="D234" s="6" t="s">
        <v>99</v>
      </c>
      <c r="E234" s="16" t="str">
        <f t="shared" si="20"/>
        <v>SAN MIGUEL, SAN GERARDO, El salvador</v>
      </c>
    </row>
    <row r="235" spans="1:5" ht="14.4" hidden="1" x14ac:dyDescent="0.3">
      <c r="A235" s="6" t="s">
        <v>99</v>
      </c>
      <c r="B235" s="6" t="s">
        <v>698</v>
      </c>
      <c r="C235" s="6" t="s">
        <v>713</v>
      </c>
      <c r="D235" s="6" t="s">
        <v>99</v>
      </c>
      <c r="E235" s="16" t="str">
        <f t="shared" si="20"/>
        <v>SAN MIGUEL, SAN JORGE, El salvador</v>
      </c>
    </row>
    <row r="236" spans="1:5" ht="14.4" hidden="1" x14ac:dyDescent="0.3">
      <c r="A236" s="6" t="s">
        <v>99</v>
      </c>
      <c r="B236" s="6" t="s">
        <v>698</v>
      </c>
      <c r="C236" s="6" t="s">
        <v>714</v>
      </c>
      <c r="D236" s="6" t="s">
        <v>99</v>
      </c>
      <c r="E236" s="16" t="str">
        <f t="shared" si="20"/>
        <v>SAN MIGUEL, SAN LUIS DE LA REINA, El salvador</v>
      </c>
    </row>
    <row r="237" spans="1:5" ht="14.4" hidden="1" x14ac:dyDescent="0.3">
      <c r="A237" s="6" t="s">
        <v>99</v>
      </c>
      <c r="B237" s="6" t="s">
        <v>698</v>
      </c>
      <c r="C237" s="6" t="s">
        <v>698</v>
      </c>
      <c r="D237" s="6" t="s">
        <v>99</v>
      </c>
      <c r="E237" s="16" t="str">
        <f t="shared" si="20"/>
        <v>SAN MIGUEL, SAN MIGUEL, El salvador</v>
      </c>
    </row>
    <row r="238" spans="1:5" ht="14.4" hidden="1" x14ac:dyDescent="0.3">
      <c r="A238" s="6" t="s">
        <v>99</v>
      </c>
      <c r="B238" s="6" t="s">
        <v>698</v>
      </c>
      <c r="C238" s="6" t="s">
        <v>715</v>
      </c>
      <c r="D238" s="6" t="s">
        <v>99</v>
      </c>
      <c r="E238" s="16" t="str">
        <f t="shared" si="20"/>
        <v>SAN MIGUEL, SAN RAFAEL ORIENTE, El salvador</v>
      </c>
    </row>
    <row r="239" spans="1:5" ht="14.4" hidden="1" x14ac:dyDescent="0.3">
      <c r="A239" s="6" t="s">
        <v>99</v>
      </c>
      <c r="B239" s="6" t="s">
        <v>698</v>
      </c>
      <c r="C239" s="6" t="s">
        <v>716</v>
      </c>
      <c r="D239" s="6" t="s">
        <v>99</v>
      </c>
      <c r="E239" s="16" t="str">
        <f t="shared" si="20"/>
        <v>SAN MIGUEL, SESORI, El salvador</v>
      </c>
    </row>
    <row r="240" spans="1:5" ht="14.4" hidden="1" x14ac:dyDescent="0.3">
      <c r="A240" s="6" t="s">
        <v>99</v>
      </c>
      <c r="B240" s="6" t="s">
        <v>698</v>
      </c>
      <c r="C240" s="6" t="s">
        <v>717</v>
      </c>
      <c r="D240" s="6" t="s">
        <v>99</v>
      </c>
      <c r="E240" s="16" t="str">
        <f t="shared" si="20"/>
        <v>SAN MIGUEL, ULUAZAPA, El salvador</v>
      </c>
    </row>
    <row r="241" spans="1:5" ht="14.4" hidden="1" x14ac:dyDescent="0.3">
      <c r="A241" s="6" t="s">
        <v>99</v>
      </c>
      <c r="B241" s="6" t="s">
        <v>718</v>
      </c>
      <c r="C241" s="6" t="s">
        <v>719</v>
      </c>
      <c r="D241" s="6" t="s">
        <v>99</v>
      </c>
      <c r="E241" s="16" t="str">
        <f t="shared" si="20"/>
        <v>USULUTAN, ALEGRIA, El salvador</v>
      </c>
    </row>
    <row r="242" spans="1:5" ht="14.4" hidden="1" x14ac:dyDescent="0.3">
      <c r="A242" s="6" t="s">
        <v>99</v>
      </c>
      <c r="B242" s="6" t="s">
        <v>718</v>
      </c>
      <c r="C242" s="6" t="s">
        <v>720</v>
      </c>
      <c r="D242" s="6" t="s">
        <v>99</v>
      </c>
      <c r="E242" s="16" t="str">
        <f t="shared" si="20"/>
        <v>USULUTAN, BERLIN, El salvador</v>
      </c>
    </row>
    <row r="243" spans="1:5" ht="14.4" hidden="1" x14ac:dyDescent="0.3">
      <c r="A243" s="6" t="s">
        <v>99</v>
      </c>
      <c r="B243" s="6" t="s">
        <v>718</v>
      </c>
      <c r="C243" s="6" t="s">
        <v>721</v>
      </c>
      <c r="D243" s="6" t="s">
        <v>99</v>
      </c>
      <c r="E243" s="16" t="str">
        <f t="shared" si="20"/>
        <v>USULUTAN, CALIFORNIA, El salvador</v>
      </c>
    </row>
    <row r="244" spans="1:5" ht="14.4" hidden="1" x14ac:dyDescent="0.3">
      <c r="A244" s="6" t="s">
        <v>99</v>
      </c>
      <c r="B244" s="6" t="s">
        <v>718</v>
      </c>
      <c r="C244" s="6" t="s">
        <v>722</v>
      </c>
      <c r="D244" s="6" t="s">
        <v>99</v>
      </c>
      <c r="E244" s="16" t="str">
        <f t="shared" si="20"/>
        <v>USULUTAN, CONCEPCION BATRES, El salvador</v>
      </c>
    </row>
    <row r="245" spans="1:5" ht="14.4" hidden="1" x14ac:dyDescent="0.3">
      <c r="A245" s="6" t="s">
        <v>99</v>
      </c>
      <c r="B245" s="6" t="s">
        <v>718</v>
      </c>
      <c r="C245" s="6" t="s">
        <v>723</v>
      </c>
      <c r="D245" s="6" t="s">
        <v>99</v>
      </c>
      <c r="E245" s="16" t="str">
        <f t="shared" si="20"/>
        <v>USULUTAN, EL TRIUNFO, El salvador</v>
      </c>
    </row>
    <row r="246" spans="1:5" ht="14.4" hidden="1" x14ac:dyDescent="0.3">
      <c r="A246" s="6" t="s">
        <v>99</v>
      </c>
      <c r="B246" s="6" t="s">
        <v>718</v>
      </c>
      <c r="C246" s="6" t="s">
        <v>724</v>
      </c>
      <c r="D246" s="6" t="s">
        <v>99</v>
      </c>
      <c r="E246" s="16" t="str">
        <f t="shared" si="20"/>
        <v>USULUTAN, EREGUAYQUIN, El salvador</v>
      </c>
    </row>
    <row r="247" spans="1:5" ht="14.4" hidden="1" x14ac:dyDescent="0.3">
      <c r="A247" s="6" t="s">
        <v>99</v>
      </c>
      <c r="B247" s="6" t="s">
        <v>718</v>
      </c>
      <c r="C247" s="6" t="s">
        <v>725</v>
      </c>
      <c r="D247" s="6" t="s">
        <v>99</v>
      </c>
      <c r="E247" s="16" t="str">
        <f t="shared" si="20"/>
        <v>USULUTAN, ESTANZUELAS, El salvador</v>
      </c>
    </row>
    <row r="248" spans="1:5" ht="14.4" hidden="1" x14ac:dyDescent="0.3">
      <c r="A248" s="6" t="s">
        <v>99</v>
      </c>
      <c r="B248" s="6" t="s">
        <v>718</v>
      </c>
      <c r="C248" s="6" t="s">
        <v>726</v>
      </c>
      <c r="D248" s="6" t="s">
        <v>99</v>
      </c>
      <c r="E248" s="16" t="str">
        <f t="shared" si="20"/>
        <v>USULUTAN, JIQUILISCO, El salvador</v>
      </c>
    </row>
    <row r="249" spans="1:5" ht="14.4" hidden="1" x14ac:dyDescent="0.3">
      <c r="A249" s="6" t="s">
        <v>99</v>
      </c>
      <c r="B249" s="6" t="s">
        <v>718</v>
      </c>
      <c r="C249" s="6" t="s">
        <v>727</v>
      </c>
      <c r="D249" s="6" t="s">
        <v>99</v>
      </c>
      <c r="E249" s="16" t="str">
        <f t="shared" si="20"/>
        <v>USULUTAN, JUCUAPA, El salvador</v>
      </c>
    </row>
    <row r="250" spans="1:5" ht="14.4" hidden="1" x14ac:dyDescent="0.3">
      <c r="A250" s="6" t="s">
        <v>99</v>
      </c>
      <c r="B250" s="6" t="s">
        <v>718</v>
      </c>
      <c r="C250" s="6" t="s">
        <v>728</v>
      </c>
      <c r="D250" s="6" t="s">
        <v>99</v>
      </c>
      <c r="E250" s="16" t="str">
        <f t="shared" si="20"/>
        <v>USULUTAN, JUCUARAN, El salvador</v>
      </c>
    </row>
    <row r="251" spans="1:5" ht="14.4" hidden="1" x14ac:dyDescent="0.3">
      <c r="A251" s="6" t="s">
        <v>99</v>
      </c>
      <c r="B251" s="6" t="s">
        <v>718</v>
      </c>
      <c r="C251" s="6" t="s">
        <v>729</v>
      </c>
      <c r="D251" s="6" t="s">
        <v>99</v>
      </c>
      <c r="E251" s="16" t="str">
        <f t="shared" si="20"/>
        <v>USULUTAN, MERCEDES UMAÑA, El salvador</v>
      </c>
    </row>
    <row r="252" spans="1:5" ht="14.4" hidden="1" x14ac:dyDescent="0.3">
      <c r="A252" s="6" t="s">
        <v>99</v>
      </c>
      <c r="B252" s="6" t="s">
        <v>718</v>
      </c>
      <c r="C252" s="6" t="s">
        <v>730</v>
      </c>
      <c r="D252" s="6" t="s">
        <v>99</v>
      </c>
      <c r="E252" s="16" t="str">
        <f t="shared" si="20"/>
        <v>USULUTAN, NUEVA GRANADA, El salvador</v>
      </c>
    </row>
    <row r="253" spans="1:5" ht="14.4" hidden="1" x14ac:dyDescent="0.3">
      <c r="A253" s="6" t="s">
        <v>99</v>
      </c>
      <c r="B253" s="6" t="s">
        <v>718</v>
      </c>
      <c r="C253" s="6" t="s">
        <v>731</v>
      </c>
      <c r="D253" s="6" t="s">
        <v>99</v>
      </c>
      <c r="E253" s="16" t="str">
        <f t="shared" si="20"/>
        <v>USULUTAN, OZATLAN, El salvador</v>
      </c>
    </row>
    <row r="254" spans="1:5" ht="14.4" hidden="1" x14ac:dyDescent="0.3">
      <c r="A254" s="6" t="s">
        <v>99</v>
      </c>
      <c r="B254" s="6" t="s">
        <v>718</v>
      </c>
      <c r="C254" s="6" t="s">
        <v>732</v>
      </c>
      <c r="D254" s="6" t="s">
        <v>99</v>
      </c>
      <c r="E254" s="16" t="str">
        <f t="shared" si="20"/>
        <v>USULUTAN, PUERTO EL TRIUNFO, El salvador</v>
      </c>
    </row>
    <row r="255" spans="1:5" ht="14.4" hidden="1" x14ac:dyDescent="0.3">
      <c r="A255" s="6" t="s">
        <v>99</v>
      </c>
      <c r="B255" s="6" t="s">
        <v>718</v>
      </c>
      <c r="C255" s="6" t="s">
        <v>733</v>
      </c>
      <c r="D255" s="6" t="s">
        <v>99</v>
      </c>
      <c r="E255" s="16" t="str">
        <f t="shared" si="20"/>
        <v>USULUTAN, SAN AGUSTIN, El salvador</v>
      </c>
    </row>
    <row r="256" spans="1:5" ht="14.4" hidden="1" x14ac:dyDescent="0.3">
      <c r="A256" s="6" t="s">
        <v>99</v>
      </c>
      <c r="B256" s="6" t="s">
        <v>718</v>
      </c>
      <c r="C256" s="6" t="s">
        <v>734</v>
      </c>
      <c r="D256" s="6" t="s">
        <v>99</v>
      </c>
      <c r="E256" s="16" t="str">
        <f t="shared" si="20"/>
        <v>USULUTAN, SAN BUENAVENTURA, El salvador</v>
      </c>
    </row>
    <row r="257" spans="1:5" ht="14.4" hidden="1" x14ac:dyDescent="0.3">
      <c r="A257" s="6" t="s">
        <v>99</v>
      </c>
      <c r="B257" s="6" t="s">
        <v>718</v>
      </c>
      <c r="C257" s="6" t="s">
        <v>735</v>
      </c>
      <c r="D257" s="6" t="s">
        <v>99</v>
      </c>
      <c r="E257" s="16" t="str">
        <f t="shared" si="20"/>
        <v>USULUTAN, SAN DIONISIO, El salvador</v>
      </c>
    </row>
    <row r="258" spans="1:5" ht="14.4" hidden="1" x14ac:dyDescent="0.3">
      <c r="A258" s="6" t="s">
        <v>99</v>
      </c>
      <c r="B258" s="6" t="s">
        <v>718</v>
      </c>
      <c r="C258" s="6" t="s">
        <v>736</v>
      </c>
      <c r="D258" s="6" t="s">
        <v>99</v>
      </c>
      <c r="E258" s="16" t="str">
        <f t="shared" si="20"/>
        <v>USULUTAN, SAN FRANCISCO JAVIER, El salvador</v>
      </c>
    </row>
    <row r="259" spans="1:5" ht="14.4" hidden="1" x14ac:dyDescent="0.3">
      <c r="A259" s="6" t="s">
        <v>99</v>
      </c>
      <c r="B259" s="6" t="s">
        <v>718</v>
      </c>
      <c r="C259" s="6" t="s">
        <v>737</v>
      </c>
      <c r="D259" s="6" t="s">
        <v>99</v>
      </c>
      <c r="E259" s="16" t="str">
        <f t="shared" si="20"/>
        <v>USULUTAN, SANTA ELENA, El salvador</v>
      </c>
    </row>
    <row r="260" spans="1:5" ht="14.4" hidden="1" x14ac:dyDescent="0.3">
      <c r="A260" s="6" t="s">
        <v>99</v>
      </c>
      <c r="B260" s="6" t="s">
        <v>718</v>
      </c>
      <c r="C260" s="6" t="s">
        <v>738</v>
      </c>
      <c r="D260" s="6" t="s">
        <v>99</v>
      </c>
      <c r="E260" s="16" t="str">
        <f t="shared" si="20"/>
        <v>USULUTAN, SANTA MARIA, El salvador</v>
      </c>
    </row>
    <row r="261" spans="1:5" ht="14.4" hidden="1" x14ac:dyDescent="0.3">
      <c r="A261" s="6" t="s">
        <v>99</v>
      </c>
      <c r="B261" s="6" t="s">
        <v>718</v>
      </c>
      <c r="C261" s="6" t="s">
        <v>739</v>
      </c>
      <c r="D261" s="6" t="s">
        <v>99</v>
      </c>
      <c r="E261" s="16" t="str">
        <f t="shared" si="20"/>
        <v>USULUTAN, SANTIAGO DE MARIA, El salvador</v>
      </c>
    </row>
    <row r="262" spans="1:5" ht="14.4" hidden="1" x14ac:dyDescent="0.3">
      <c r="A262" s="6" t="s">
        <v>99</v>
      </c>
      <c r="B262" s="6" t="s">
        <v>718</v>
      </c>
      <c r="C262" s="6" t="s">
        <v>740</v>
      </c>
      <c r="D262" s="6" t="s">
        <v>99</v>
      </c>
      <c r="E262" s="16" t="str">
        <f t="shared" ref="E262:E263" si="21">B262&amp;", "&amp;C262&amp;", El salvador"</f>
        <v>USULUTAN, TECAPAN, El salvador</v>
      </c>
    </row>
    <row r="263" spans="1:5" ht="14.4" hidden="1" x14ac:dyDescent="0.3">
      <c r="A263" s="6" t="s">
        <v>99</v>
      </c>
      <c r="B263" s="6" t="s">
        <v>718</v>
      </c>
      <c r="C263" s="6" t="s">
        <v>718</v>
      </c>
      <c r="D263" s="6" t="s">
        <v>99</v>
      </c>
      <c r="E263" s="16" t="str">
        <f t="shared" si="21"/>
        <v>USULUTAN, USULUTAN, El salvador</v>
      </c>
    </row>
  </sheetData>
  <autoFilter ref="A1:D263" xr:uid="{E20D9B9C-B7B6-410E-8114-8C0B3EBFE638}">
    <filterColumn colId="0">
      <filters>
        <filter val="Centro III"/>
      </filters>
    </filterColumn>
    <sortState xmlns:xlrd2="http://schemas.microsoft.com/office/spreadsheetml/2017/richdata2" ref="A2:D263">
      <sortCondition ref="B1:B26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C7CE-DFA2-4A4F-BE12-0C886B4085EE}">
  <dimension ref="A1:D326"/>
  <sheetViews>
    <sheetView workbookViewId="0">
      <selection activeCell="D42" sqref="D42"/>
    </sheetView>
  </sheetViews>
  <sheetFormatPr baseColWidth="10" defaultColWidth="11.44140625" defaultRowHeight="14.4" x14ac:dyDescent="0.3"/>
  <cols>
    <col min="1" max="1" width="17.88671875" bestFit="1" customWidth="1"/>
    <col min="2" max="2" width="13.33203125" bestFit="1" customWidth="1"/>
    <col min="3" max="3" width="25.109375" bestFit="1" customWidth="1"/>
  </cols>
  <sheetData>
    <row r="1" spans="1:4" x14ac:dyDescent="0.3">
      <c r="A1" s="3" t="s">
        <v>0</v>
      </c>
      <c r="B1" s="3" t="s">
        <v>64</v>
      </c>
      <c r="C1" s="3" t="s">
        <v>2</v>
      </c>
    </row>
    <row r="2" spans="1:4" x14ac:dyDescent="0.3">
      <c r="A2" s="4" t="s">
        <v>741</v>
      </c>
      <c r="B2" s="4" t="s">
        <v>742</v>
      </c>
      <c r="C2" s="13" t="s">
        <v>743</v>
      </c>
      <c r="D2" s="16" t="str">
        <f>B2&amp;", "&amp;C2&amp;", Nicaragua"</f>
        <v>Matagalpa, Ciudad Darío, Nicaragua</v>
      </c>
    </row>
    <row r="3" spans="1:4" x14ac:dyDescent="0.3">
      <c r="A3" s="4" t="s">
        <v>741</v>
      </c>
      <c r="B3" s="4" t="s">
        <v>742</v>
      </c>
      <c r="C3" s="4" t="s">
        <v>744</v>
      </c>
      <c r="D3" s="16" t="str">
        <f t="shared" ref="D3:D31" si="0">B3&amp;", "&amp;C3&amp;", Nicaragua"</f>
        <v>Matagalpa, El Tuma - La Dalia, Nicaragua</v>
      </c>
    </row>
    <row r="4" spans="1:4" x14ac:dyDescent="0.3">
      <c r="A4" s="4" t="s">
        <v>741</v>
      </c>
      <c r="B4" s="4" t="s">
        <v>742</v>
      </c>
      <c r="C4" s="13" t="s">
        <v>133</v>
      </c>
      <c r="D4" s="16" t="str">
        <f t="shared" si="0"/>
        <v>Matagalpa, Esquipulas, Nicaragua</v>
      </c>
    </row>
    <row r="5" spans="1:4" x14ac:dyDescent="0.3">
      <c r="A5" s="4" t="s">
        <v>741</v>
      </c>
      <c r="B5" s="4" t="s">
        <v>742</v>
      </c>
      <c r="C5" s="13" t="s">
        <v>742</v>
      </c>
      <c r="D5" s="16" t="str">
        <f t="shared" si="0"/>
        <v>Matagalpa, Matagalpa, Nicaragua</v>
      </c>
    </row>
    <row r="6" spans="1:4" x14ac:dyDescent="0.3">
      <c r="A6" s="4" t="s">
        <v>741</v>
      </c>
      <c r="B6" s="4" t="s">
        <v>742</v>
      </c>
      <c r="C6" s="13" t="s">
        <v>745</v>
      </c>
      <c r="D6" s="16" t="str">
        <f t="shared" si="0"/>
        <v>Matagalpa, Matiguás, Nicaragua</v>
      </c>
    </row>
    <row r="7" spans="1:4" x14ac:dyDescent="0.3">
      <c r="A7" s="4" t="s">
        <v>741</v>
      </c>
      <c r="B7" s="4" t="s">
        <v>742</v>
      </c>
      <c r="C7" s="13" t="s">
        <v>746</v>
      </c>
      <c r="D7" s="16" t="str">
        <f t="shared" si="0"/>
        <v>Matagalpa, Muy Muy, Nicaragua</v>
      </c>
    </row>
    <row r="8" spans="1:4" x14ac:dyDescent="0.3">
      <c r="A8" s="4" t="s">
        <v>741</v>
      </c>
      <c r="B8" s="4" t="s">
        <v>742</v>
      </c>
      <c r="C8" s="4" t="s">
        <v>747</v>
      </c>
      <c r="D8" s="16" t="str">
        <f t="shared" si="0"/>
        <v>Matagalpa, Rancho Grande, Nicaragua</v>
      </c>
    </row>
    <row r="9" spans="1:4" x14ac:dyDescent="0.3">
      <c r="A9" s="4" t="s">
        <v>741</v>
      </c>
      <c r="B9" s="4" t="s">
        <v>742</v>
      </c>
      <c r="C9" s="13" t="s">
        <v>370</v>
      </c>
      <c r="D9" s="16" t="str">
        <f t="shared" si="0"/>
        <v>Matagalpa, Río Blanco, Nicaragua</v>
      </c>
    </row>
    <row r="10" spans="1:4" x14ac:dyDescent="0.3">
      <c r="A10" s="4" t="s">
        <v>741</v>
      </c>
      <c r="B10" s="4" t="s">
        <v>748</v>
      </c>
      <c r="C10" s="13" t="s">
        <v>748</v>
      </c>
      <c r="D10" s="16" t="str">
        <f t="shared" si="0"/>
        <v>Boaco, Boaco, Nicaragua</v>
      </c>
    </row>
    <row r="11" spans="1:4" x14ac:dyDescent="0.3">
      <c r="A11" s="4" t="s">
        <v>741</v>
      </c>
      <c r="B11" s="4" t="s">
        <v>748</v>
      </c>
      <c r="C11" s="13" t="s">
        <v>749</v>
      </c>
      <c r="D11" s="16" t="str">
        <f t="shared" si="0"/>
        <v>Boaco, Camoapa, Nicaragua</v>
      </c>
    </row>
    <row r="12" spans="1:4" x14ac:dyDescent="0.3">
      <c r="A12" s="4" t="s">
        <v>741</v>
      </c>
      <c r="B12" s="4" t="s">
        <v>748</v>
      </c>
      <c r="C12" s="13" t="s">
        <v>229</v>
      </c>
      <c r="D12" s="16" t="str">
        <f t="shared" si="0"/>
        <v>Boaco, San Lorenzo, Nicaragua</v>
      </c>
    </row>
    <row r="13" spans="1:4" x14ac:dyDescent="0.3">
      <c r="A13" s="4" t="s">
        <v>741</v>
      </c>
      <c r="B13" s="4" t="s">
        <v>748</v>
      </c>
      <c r="C13" s="13" t="s">
        <v>750</v>
      </c>
      <c r="D13" s="16" t="str">
        <f t="shared" si="0"/>
        <v>Boaco, Teustepe, Nicaragua</v>
      </c>
    </row>
    <row r="14" spans="1:4" x14ac:dyDescent="0.3">
      <c r="A14" s="4" t="s">
        <v>741</v>
      </c>
      <c r="B14" s="4" t="s">
        <v>751</v>
      </c>
      <c r="C14" s="13" t="s">
        <v>752</v>
      </c>
      <c r="D14" s="16" t="str">
        <f t="shared" si="0"/>
        <v>Chontales, Acoyapa, Nicaragua</v>
      </c>
    </row>
    <row r="15" spans="1:4" x14ac:dyDescent="0.3">
      <c r="A15" s="4" t="s">
        <v>741</v>
      </c>
      <c r="B15" s="4" t="s">
        <v>751</v>
      </c>
      <c r="C15" s="13" t="s">
        <v>753</v>
      </c>
      <c r="D15" s="16" t="str">
        <f t="shared" si="0"/>
        <v>Chontales, Comalapa, Nicaragua</v>
      </c>
    </row>
    <row r="16" spans="1:4" x14ac:dyDescent="0.3">
      <c r="A16" s="4" t="s">
        <v>741</v>
      </c>
      <c r="B16" s="4" t="s">
        <v>751</v>
      </c>
      <c r="C16" s="13" t="s">
        <v>754</v>
      </c>
      <c r="D16" s="16" t="str">
        <f t="shared" si="0"/>
        <v>Chontales, Juigalpa, Nicaragua</v>
      </c>
    </row>
    <row r="17" spans="1:4" x14ac:dyDescent="0.3">
      <c r="A17" s="4" t="s">
        <v>741</v>
      </c>
      <c r="B17" s="4" t="s">
        <v>755</v>
      </c>
      <c r="C17" s="4" t="s">
        <v>756</v>
      </c>
      <c r="D17" s="16" t="str">
        <f t="shared" si="0"/>
        <v>Jinotega, El Cuá, Nicaragua</v>
      </c>
    </row>
    <row r="18" spans="1:4" x14ac:dyDescent="0.3">
      <c r="A18" s="4" t="s">
        <v>741</v>
      </c>
      <c r="B18" s="4" t="s">
        <v>755</v>
      </c>
      <c r="C18" s="13" t="s">
        <v>755</v>
      </c>
      <c r="D18" s="16" t="str">
        <f t="shared" si="0"/>
        <v>Jinotega, Jinotega, Nicaragua</v>
      </c>
    </row>
    <row r="19" spans="1:4" x14ac:dyDescent="0.3">
      <c r="A19" s="4" t="s">
        <v>741</v>
      </c>
      <c r="B19" s="4" t="s">
        <v>755</v>
      </c>
      <c r="C19" s="13" t="s">
        <v>757</v>
      </c>
      <c r="D19" s="16" t="str">
        <f t="shared" si="0"/>
        <v>Jinotega, San José de Bocay, Nicaragua</v>
      </c>
    </row>
    <row r="20" spans="1:4" x14ac:dyDescent="0.3">
      <c r="A20" s="4" t="s">
        <v>741</v>
      </c>
      <c r="B20" s="4" t="s">
        <v>755</v>
      </c>
      <c r="C20" s="13" t="s">
        <v>758</v>
      </c>
      <c r="D20" s="16" t="str">
        <f t="shared" si="0"/>
        <v>Jinotega, San Rafael del Norte, Nicaragua</v>
      </c>
    </row>
    <row r="21" spans="1:4" x14ac:dyDescent="0.3">
      <c r="A21" s="4" t="s">
        <v>741</v>
      </c>
      <c r="B21" s="4" t="s">
        <v>755</v>
      </c>
      <c r="C21" s="13" t="s">
        <v>759</v>
      </c>
      <c r="D21" s="16" t="str">
        <f t="shared" si="0"/>
        <v>Jinotega, San Sebastián de Yalí, Nicaragua</v>
      </c>
    </row>
    <row r="22" spans="1:4" x14ac:dyDescent="0.3">
      <c r="A22" s="4" t="s">
        <v>741</v>
      </c>
      <c r="B22" s="4" t="s">
        <v>760</v>
      </c>
      <c r="C22" s="13" t="s">
        <v>761</v>
      </c>
      <c r="D22" s="16" t="str">
        <f t="shared" si="0"/>
        <v>Rio San Juan, El Castillo, Nicaragua</v>
      </c>
    </row>
    <row r="23" spans="1:4" x14ac:dyDescent="0.3">
      <c r="A23" s="4" t="s">
        <v>741</v>
      </c>
      <c r="B23" s="4" t="s">
        <v>760</v>
      </c>
      <c r="C23" s="13" t="s">
        <v>429</v>
      </c>
      <c r="D23" s="16" t="str">
        <f t="shared" si="0"/>
        <v>Rio San Juan, San Carlos, Nicaragua</v>
      </c>
    </row>
    <row r="24" spans="1:4" x14ac:dyDescent="0.3">
      <c r="A24" s="4" t="s">
        <v>741</v>
      </c>
      <c r="B24" s="4" t="s">
        <v>751</v>
      </c>
      <c r="C24" s="13" t="s">
        <v>762</v>
      </c>
      <c r="D24" s="16" t="str">
        <f t="shared" si="0"/>
        <v>Chontales, Santo Tomás, Nicaragua</v>
      </c>
    </row>
    <row r="25" spans="1:4" x14ac:dyDescent="0.3">
      <c r="A25" s="4" t="s">
        <v>741</v>
      </c>
      <c r="B25" s="4" t="s">
        <v>755</v>
      </c>
      <c r="C25" s="4" t="s">
        <v>763</v>
      </c>
      <c r="D25" s="16" t="str">
        <f t="shared" si="0"/>
        <v>Jinotega, Santa María de Pantasma, Nicaragua</v>
      </c>
    </row>
    <row r="26" spans="1:4" x14ac:dyDescent="0.3">
      <c r="A26" s="4" t="s">
        <v>741</v>
      </c>
      <c r="B26" s="4" t="s">
        <v>742</v>
      </c>
      <c r="C26" s="13" t="s">
        <v>764</v>
      </c>
      <c r="D26" s="16" t="str">
        <f t="shared" si="0"/>
        <v>Matagalpa, San Dionisio, Nicaragua</v>
      </c>
    </row>
    <row r="27" spans="1:4" x14ac:dyDescent="0.3">
      <c r="A27" s="4" t="s">
        <v>741</v>
      </c>
      <c r="B27" s="4" t="s">
        <v>742</v>
      </c>
      <c r="C27" s="13" t="s">
        <v>440</v>
      </c>
      <c r="D27" s="16" t="str">
        <f t="shared" si="0"/>
        <v>Matagalpa, San Isidro, Nicaragua</v>
      </c>
    </row>
    <row r="28" spans="1:4" x14ac:dyDescent="0.3">
      <c r="A28" s="4" t="s">
        <v>741</v>
      </c>
      <c r="B28" s="4" t="s">
        <v>755</v>
      </c>
      <c r="C28" s="4" t="s">
        <v>765</v>
      </c>
      <c r="D28" s="16" t="str">
        <f t="shared" si="0"/>
        <v>Jinotega, Wiwilí de Jinotega, Nicaragua</v>
      </c>
    </row>
    <row r="29" spans="1:4" x14ac:dyDescent="0.3">
      <c r="A29" s="4" t="s">
        <v>741</v>
      </c>
      <c r="B29" s="4" t="s">
        <v>742</v>
      </c>
      <c r="C29" s="13" t="s">
        <v>766</v>
      </c>
      <c r="D29" s="16" t="str">
        <f t="shared" si="0"/>
        <v>Matagalpa, San Ramón, Nicaragua</v>
      </c>
    </row>
    <row r="30" spans="1:4" x14ac:dyDescent="0.3">
      <c r="A30" s="4" t="s">
        <v>741</v>
      </c>
      <c r="B30" s="4" t="s">
        <v>742</v>
      </c>
      <c r="C30" s="13" t="s">
        <v>767</v>
      </c>
      <c r="D30" s="16" t="str">
        <f t="shared" si="0"/>
        <v>Matagalpa, Sébaco, Nicaragua</v>
      </c>
    </row>
    <row r="31" spans="1:4" x14ac:dyDescent="0.3">
      <c r="A31" s="4" t="s">
        <v>741</v>
      </c>
      <c r="B31" s="4" t="s">
        <v>760</v>
      </c>
      <c r="C31" s="13" t="s">
        <v>768</v>
      </c>
      <c r="D31" s="16" t="str">
        <f t="shared" si="0"/>
        <v>Rio San Juan, San Miguelito, Nicaragua</v>
      </c>
    </row>
    <row r="32" spans="1:4" x14ac:dyDescent="0.3">
      <c r="A32" s="4" t="s">
        <v>3</v>
      </c>
      <c r="B32" s="4" t="s">
        <v>769</v>
      </c>
      <c r="C32" s="4" t="s">
        <v>770</v>
      </c>
    </row>
    <row r="33" spans="1:3" x14ac:dyDescent="0.3">
      <c r="A33" s="4" t="s">
        <v>3</v>
      </c>
      <c r="B33" s="4" t="s">
        <v>769</v>
      </c>
      <c r="C33" s="4" t="s">
        <v>771</v>
      </c>
    </row>
    <row r="34" spans="1:3" x14ac:dyDescent="0.3">
      <c r="A34" s="4" t="s">
        <v>3</v>
      </c>
      <c r="B34" s="4" t="s">
        <v>769</v>
      </c>
      <c r="C34" s="4" t="s">
        <v>772</v>
      </c>
    </row>
    <row r="35" spans="1:3" x14ac:dyDescent="0.3">
      <c r="A35" s="4" t="s">
        <v>3</v>
      </c>
      <c r="B35" s="4" t="s">
        <v>769</v>
      </c>
      <c r="C35" s="4" t="s">
        <v>773</v>
      </c>
    </row>
    <row r="36" spans="1:3" x14ac:dyDescent="0.3">
      <c r="A36" s="4" t="s">
        <v>3</v>
      </c>
      <c r="B36" s="4" t="s">
        <v>769</v>
      </c>
      <c r="C36" s="4" t="s">
        <v>774</v>
      </c>
    </row>
    <row r="37" spans="1:3" x14ac:dyDescent="0.3">
      <c r="A37" s="4" t="s">
        <v>3</v>
      </c>
      <c r="B37" s="4" t="s">
        <v>769</v>
      </c>
      <c r="C37" s="4" t="s">
        <v>769</v>
      </c>
    </row>
    <row r="38" spans="1:3" x14ac:dyDescent="0.3">
      <c r="A38" s="4" t="s">
        <v>3</v>
      </c>
      <c r="B38" s="4" t="s">
        <v>769</v>
      </c>
      <c r="C38" s="4" t="s">
        <v>775</v>
      </c>
    </row>
    <row r="39" spans="1:3" x14ac:dyDescent="0.3">
      <c r="A39" s="4" t="s">
        <v>3</v>
      </c>
      <c r="B39" s="4" t="s">
        <v>769</v>
      </c>
      <c r="C39" s="4" t="s">
        <v>776</v>
      </c>
    </row>
    <row r="40" spans="1:3" x14ac:dyDescent="0.3">
      <c r="A40" s="4" t="s">
        <v>3</v>
      </c>
      <c r="B40" s="4" t="s">
        <v>777</v>
      </c>
      <c r="C40" s="4" t="s">
        <v>241</v>
      </c>
    </row>
    <row r="41" spans="1:3" x14ac:dyDescent="0.3">
      <c r="A41" s="4" t="s">
        <v>3</v>
      </c>
      <c r="B41" s="4" t="s">
        <v>777</v>
      </c>
      <c r="C41" s="4" t="s">
        <v>778</v>
      </c>
    </row>
    <row r="42" spans="1:3" x14ac:dyDescent="0.3">
      <c r="A42" s="4" t="s">
        <v>3</v>
      </c>
      <c r="B42" s="4" t="s">
        <v>777</v>
      </c>
      <c r="C42" s="4" t="s">
        <v>779</v>
      </c>
    </row>
    <row r="43" spans="1:3" x14ac:dyDescent="0.3">
      <c r="A43" s="4" t="s">
        <v>3</v>
      </c>
      <c r="B43" s="4" t="s">
        <v>777</v>
      </c>
      <c r="C43" s="4" t="s">
        <v>780</v>
      </c>
    </row>
    <row r="44" spans="1:3" x14ac:dyDescent="0.3">
      <c r="A44" s="4" t="s">
        <v>3</v>
      </c>
      <c r="B44" s="4" t="s">
        <v>781</v>
      </c>
      <c r="C44" s="4" t="s">
        <v>782</v>
      </c>
    </row>
    <row r="45" spans="1:3" x14ac:dyDescent="0.3">
      <c r="A45" s="4" t="s">
        <v>3</v>
      </c>
      <c r="B45" s="4" t="s">
        <v>781</v>
      </c>
      <c r="C45" s="4" t="s">
        <v>783</v>
      </c>
    </row>
    <row r="46" spans="1:3" x14ac:dyDescent="0.3">
      <c r="A46" s="4" t="s">
        <v>3</v>
      </c>
      <c r="B46" s="4" t="s">
        <v>781</v>
      </c>
      <c r="C46" s="4" t="s">
        <v>784</v>
      </c>
    </row>
    <row r="47" spans="1:3" x14ac:dyDescent="0.3">
      <c r="A47" s="4" t="s">
        <v>3</v>
      </c>
      <c r="B47" s="4" t="s">
        <v>781</v>
      </c>
      <c r="C47" s="4" t="s">
        <v>785</v>
      </c>
    </row>
    <row r="48" spans="1:3" x14ac:dyDescent="0.3">
      <c r="A48" s="4" t="s">
        <v>3</v>
      </c>
      <c r="B48" s="4" t="s">
        <v>781</v>
      </c>
      <c r="C48" s="4" t="s">
        <v>786</v>
      </c>
    </row>
    <row r="49" spans="1:3" x14ac:dyDescent="0.3">
      <c r="A49" s="4" t="s">
        <v>3</v>
      </c>
      <c r="B49" s="4" t="s">
        <v>781</v>
      </c>
      <c r="C49" s="4" t="s">
        <v>787</v>
      </c>
    </row>
    <row r="50" spans="1:3" x14ac:dyDescent="0.3">
      <c r="A50" s="4" t="s">
        <v>3</v>
      </c>
      <c r="B50" s="4" t="s">
        <v>788</v>
      </c>
      <c r="C50" s="4" t="s">
        <v>789</v>
      </c>
    </row>
    <row r="51" spans="1:3" x14ac:dyDescent="0.3">
      <c r="A51" s="4" t="s">
        <v>3</v>
      </c>
      <c r="B51" s="4" t="s">
        <v>788</v>
      </c>
      <c r="C51" s="4" t="s">
        <v>790</v>
      </c>
    </row>
    <row r="52" spans="1:3" x14ac:dyDescent="0.3">
      <c r="A52" s="4" t="s">
        <v>3</v>
      </c>
      <c r="B52" s="4" t="s">
        <v>788</v>
      </c>
      <c r="C52" s="4" t="s">
        <v>791</v>
      </c>
    </row>
    <row r="53" spans="1:3" x14ac:dyDescent="0.3">
      <c r="A53" s="4" t="s">
        <v>3</v>
      </c>
      <c r="B53" s="4" t="s">
        <v>788</v>
      </c>
      <c r="C53" s="4" t="s">
        <v>792</v>
      </c>
    </row>
    <row r="54" spans="1:3" x14ac:dyDescent="0.3">
      <c r="A54" s="4" t="s">
        <v>3</v>
      </c>
      <c r="B54" s="4" t="s">
        <v>788</v>
      </c>
      <c r="C54" s="4" t="s">
        <v>793</v>
      </c>
    </row>
    <row r="55" spans="1:3" x14ac:dyDescent="0.3">
      <c r="A55" s="4" t="s">
        <v>3</v>
      </c>
      <c r="B55" s="4" t="s">
        <v>788</v>
      </c>
      <c r="C55" s="4" t="s">
        <v>794</v>
      </c>
    </row>
    <row r="56" spans="1:3" x14ac:dyDescent="0.3">
      <c r="A56" s="4" t="s">
        <v>3</v>
      </c>
      <c r="B56" s="4" t="s">
        <v>795</v>
      </c>
      <c r="C56" s="4" t="s">
        <v>796</v>
      </c>
    </row>
    <row r="57" spans="1:3" x14ac:dyDescent="0.3">
      <c r="A57" s="4" t="s">
        <v>3</v>
      </c>
      <c r="B57" s="4" t="s">
        <v>795</v>
      </c>
      <c r="C57" s="4" t="s">
        <v>797</v>
      </c>
    </row>
    <row r="58" spans="1:3" x14ac:dyDescent="0.3">
      <c r="A58" s="4" t="s">
        <v>3</v>
      </c>
      <c r="B58" s="4" t="s">
        <v>795</v>
      </c>
      <c r="C58" s="4" t="s">
        <v>798</v>
      </c>
    </row>
    <row r="59" spans="1:3" x14ac:dyDescent="0.3">
      <c r="A59" s="4" t="s">
        <v>3</v>
      </c>
      <c r="B59" s="4" t="s">
        <v>795</v>
      </c>
      <c r="C59" s="4" t="s">
        <v>799</v>
      </c>
    </row>
    <row r="60" spans="1:3" x14ac:dyDescent="0.3">
      <c r="A60" s="4" t="s">
        <v>3</v>
      </c>
      <c r="B60" s="4" t="s">
        <v>795</v>
      </c>
      <c r="C60" s="4" t="s">
        <v>153</v>
      </c>
    </row>
    <row r="61" spans="1:3" x14ac:dyDescent="0.3">
      <c r="A61" s="4" t="s">
        <v>3</v>
      </c>
      <c r="B61" s="4" t="s">
        <v>795</v>
      </c>
      <c r="C61" s="4" t="s">
        <v>142</v>
      </c>
    </row>
    <row r="62" spans="1:3" x14ac:dyDescent="0.3">
      <c r="A62" s="4" t="s">
        <v>800</v>
      </c>
      <c r="B62" s="4" t="s">
        <v>801</v>
      </c>
      <c r="C62" s="4" t="s">
        <v>802</v>
      </c>
    </row>
    <row r="63" spans="1:3" x14ac:dyDescent="0.3">
      <c r="A63" s="4" t="s">
        <v>800</v>
      </c>
      <c r="B63" s="4" t="s">
        <v>801</v>
      </c>
      <c r="C63" s="4" t="s">
        <v>803</v>
      </c>
    </row>
    <row r="64" spans="1:3" x14ac:dyDescent="0.3">
      <c r="A64" s="4" t="s">
        <v>800</v>
      </c>
      <c r="B64" s="4" t="s">
        <v>801</v>
      </c>
      <c r="C64" s="4" t="s">
        <v>804</v>
      </c>
    </row>
    <row r="65" spans="1:3" x14ac:dyDescent="0.3">
      <c r="A65" s="4" t="s">
        <v>800</v>
      </c>
      <c r="B65" s="4" t="s">
        <v>801</v>
      </c>
      <c r="C65" s="4" t="s">
        <v>805</v>
      </c>
    </row>
    <row r="66" spans="1:3" x14ac:dyDescent="0.3">
      <c r="A66" s="4" t="s">
        <v>800</v>
      </c>
      <c r="B66" s="4" t="s">
        <v>806</v>
      </c>
      <c r="C66" s="4" t="s">
        <v>263</v>
      </c>
    </row>
    <row r="67" spans="1:3" x14ac:dyDescent="0.3">
      <c r="A67" s="4" t="s">
        <v>800</v>
      </c>
      <c r="B67" s="4" t="s">
        <v>801</v>
      </c>
      <c r="C67" s="4" t="s">
        <v>807</v>
      </c>
    </row>
    <row r="68" spans="1:3" x14ac:dyDescent="0.3">
      <c r="A68" s="4" t="s">
        <v>800</v>
      </c>
      <c r="B68" s="4" t="s">
        <v>801</v>
      </c>
      <c r="C68" s="4" t="s">
        <v>808</v>
      </c>
    </row>
    <row r="69" spans="1:3" x14ac:dyDescent="0.3">
      <c r="A69" s="4" t="s">
        <v>800</v>
      </c>
      <c r="B69" s="4" t="s">
        <v>806</v>
      </c>
      <c r="C69" s="4" t="s">
        <v>809</v>
      </c>
    </row>
    <row r="70" spans="1:3" x14ac:dyDescent="0.3">
      <c r="A70" s="4" t="s">
        <v>800</v>
      </c>
      <c r="B70" s="4" t="s">
        <v>806</v>
      </c>
      <c r="C70" s="4" t="s">
        <v>810</v>
      </c>
    </row>
    <row r="71" spans="1:3" x14ac:dyDescent="0.3">
      <c r="A71" s="4" t="s">
        <v>800</v>
      </c>
      <c r="B71" s="4" t="s">
        <v>801</v>
      </c>
      <c r="C71" s="4" t="s">
        <v>801</v>
      </c>
    </row>
    <row r="72" spans="1:3" x14ac:dyDescent="0.3">
      <c r="A72" s="4" t="s">
        <v>800</v>
      </c>
      <c r="B72" s="4" t="s">
        <v>801</v>
      </c>
      <c r="C72" s="4" t="s">
        <v>811</v>
      </c>
    </row>
    <row r="73" spans="1:3" x14ac:dyDescent="0.3">
      <c r="A73" s="4" t="s">
        <v>800</v>
      </c>
      <c r="B73" s="4" t="s">
        <v>806</v>
      </c>
      <c r="C73" s="4" t="s">
        <v>812</v>
      </c>
    </row>
    <row r="74" spans="1:3" x14ac:dyDescent="0.3">
      <c r="A74" s="4" t="s">
        <v>813</v>
      </c>
      <c r="B74" s="4" t="s">
        <v>814</v>
      </c>
      <c r="C74" s="4" t="s">
        <v>815</v>
      </c>
    </row>
    <row r="75" spans="1:3" x14ac:dyDescent="0.3">
      <c r="A75" s="4" t="s">
        <v>813</v>
      </c>
      <c r="B75" s="4" t="s">
        <v>816</v>
      </c>
      <c r="C75" s="4" t="s">
        <v>817</v>
      </c>
    </row>
    <row r="76" spans="1:3" x14ac:dyDescent="0.3">
      <c r="A76" s="4" t="s">
        <v>813</v>
      </c>
      <c r="B76" s="4" t="s">
        <v>816</v>
      </c>
      <c r="C76" s="4" t="s">
        <v>818</v>
      </c>
    </row>
    <row r="77" spans="1:3" x14ac:dyDescent="0.3">
      <c r="A77" s="4" t="s">
        <v>813</v>
      </c>
      <c r="B77" s="4" t="s">
        <v>819</v>
      </c>
      <c r="C77" s="4" t="s">
        <v>820</v>
      </c>
    </row>
    <row r="78" spans="1:3" x14ac:dyDescent="0.3">
      <c r="A78" s="4" t="s">
        <v>813</v>
      </c>
      <c r="B78" s="4" t="s">
        <v>819</v>
      </c>
      <c r="C78" s="4" t="s">
        <v>821</v>
      </c>
    </row>
    <row r="79" spans="1:3" x14ac:dyDescent="0.3">
      <c r="A79" s="4" t="s">
        <v>813</v>
      </c>
      <c r="B79" s="4" t="s">
        <v>816</v>
      </c>
      <c r="C79" s="4" t="s">
        <v>822</v>
      </c>
    </row>
    <row r="80" spans="1:3" x14ac:dyDescent="0.3">
      <c r="A80" s="4" t="s">
        <v>813</v>
      </c>
      <c r="B80" s="4" t="s">
        <v>819</v>
      </c>
      <c r="C80" s="4" t="s">
        <v>819</v>
      </c>
    </row>
    <row r="81" spans="1:4" x14ac:dyDescent="0.3">
      <c r="A81" s="4" t="s">
        <v>813</v>
      </c>
      <c r="B81" s="4" t="s">
        <v>814</v>
      </c>
      <c r="C81" s="4" t="s">
        <v>823</v>
      </c>
    </row>
    <row r="82" spans="1:4" x14ac:dyDescent="0.3">
      <c r="A82" s="4" t="s">
        <v>813</v>
      </c>
      <c r="B82" s="4" t="s">
        <v>814</v>
      </c>
      <c r="C82" s="4" t="s">
        <v>824</v>
      </c>
    </row>
    <row r="83" spans="1:4" x14ac:dyDescent="0.3">
      <c r="A83" s="4" t="s">
        <v>813</v>
      </c>
      <c r="B83" s="4" t="s">
        <v>814</v>
      </c>
      <c r="C83" s="4" t="s">
        <v>814</v>
      </c>
    </row>
    <row r="84" spans="1:4" x14ac:dyDescent="0.3">
      <c r="A84" s="4" t="s">
        <v>813</v>
      </c>
      <c r="B84" s="4" t="s">
        <v>816</v>
      </c>
      <c r="C84" s="4" t="s">
        <v>816</v>
      </c>
    </row>
    <row r="85" spans="1:4" x14ac:dyDescent="0.3">
      <c r="A85" s="4" t="s">
        <v>813</v>
      </c>
      <c r="B85" s="4" t="s">
        <v>814</v>
      </c>
      <c r="C85" s="4" t="s">
        <v>825</v>
      </c>
    </row>
    <row r="86" spans="1:4" x14ac:dyDescent="0.3">
      <c r="A86" s="4" t="s">
        <v>813</v>
      </c>
      <c r="B86" s="4" t="s">
        <v>816</v>
      </c>
      <c r="C86" s="4" t="s">
        <v>826</v>
      </c>
    </row>
    <row r="87" spans="1:4" x14ac:dyDescent="0.3">
      <c r="A87" s="4"/>
      <c r="B87" s="4"/>
      <c r="C87" s="4"/>
      <c r="D87" s="16"/>
    </row>
    <row r="88" spans="1:4" ht="15.75" customHeight="1" x14ac:dyDescent="0.3">
      <c r="A88" s="4"/>
      <c r="B88" s="4"/>
      <c r="C88" s="4"/>
      <c r="D88" s="16"/>
    </row>
    <row r="89" spans="1:4" x14ac:dyDescent="0.3">
      <c r="A89" s="4"/>
      <c r="B89" s="4"/>
      <c r="C89" s="4"/>
      <c r="D89" s="16"/>
    </row>
    <row r="90" spans="1:4" x14ac:dyDescent="0.3">
      <c r="A90" s="4"/>
      <c r="B90" s="4"/>
      <c r="C90" s="4"/>
      <c r="D90" s="16"/>
    </row>
    <row r="91" spans="1:4" x14ac:dyDescent="0.3">
      <c r="A91" s="4"/>
      <c r="B91" s="4"/>
      <c r="C91" s="4"/>
      <c r="D91" s="16"/>
    </row>
    <row r="92" spans="1:4" x14ac:dyDescent="0.3">
      <c r="A92" s="4"/>
      <c r="B92" s="4"/>
      <c r="C92" s="4"/>
      <c r="D92" s="16"/>
    </row>
    <row r="93" spans="1:4" x14ac:dyDescent="0.3">
      <c r="A93" s="4"/>
      <c r="B93" s="4"/>
      <c r="C93" s="4"/>
      <c r="D93" s="16"/>
    </row>
    <row r="94" spans="1:4" x14ac:dyDescent="0.3">
      <c r="A94" s="4"/>
      <c r="B94" s="4"/>
      <c r="C94" s="4"/>
      <c r="D94" s="16"/>
    </row>
    <row r="95" spans="1:4" x14ac:dyDescent="0.3">
      <c r="A95" s="4"/>
      <c r="B95" s="4"/>
      <c r="C95" s="4"/>
      <c r="D95" s="16"/>
    </row>
    <row r="96" spans="1:4" x14ac:dyDescent="0.3">
      <c r="A96" s="4"/>
      <c r="B96" s="4"/>
      <c r="C96" s="4"/>
      <c r="D96" s="16"/>
    </row>
    <row r="97" spans="1:4" x14ac:dyDescent="0.3">
      <c r="A97" s="4"/>
      <c r="B97" s="4"/>
      <c r="C97" s="4"/>
      <c r="D97" s="16"/>
    </row>
    <row r="98" spans="1:4" x14ac:dyDescent="0.3">
      <c r="A98" s="4"/>
      <c r="B98" s="4"/>
      <c r="C98" s="4"/>
      <c r="D98" s="16"/>
    </row>
    <row r="99" spans="1:4" x14ac:dyDescent="0.3">
      <c r="A99" s="4"/>
      <c r="B99" s="4"/>
      <c r="C99" s="4"/>
      <c r="D99" s="16"/>
    </row>
    <row r="100" spans="1:4" x14ac:dyDescent="0.3">
      <c r="A100" s="4"/>
      <c r="B100" s="4"/>
      <c r="C100" s="4"/>
      <c r="D100" s="16"/>
    </row>
    <row r="101" spans="1:4" x14ac:dyDescent="0.3">
      <c r="A101" s="4"/>
      <c r="B101" s="4"/>
      <c r="C101" s="4"/>
      <c r="D101" s="16"/>
    </row>
    <row r="102" spans="1:4" x14ac:dyDescent="0.3">
      <c r="A102" s="4"/>
      <c r="B102" s="4"/>
      <c r="C102" s="4"/>
      <c r="D102" s="16"/>
    </row>
    <row r="103" spans="1:4" x14ac:dyDescent="0.3">
      <c r="A103" s="4"/>
      <c r="B103" s="4"/>
      <c r="C103" s="4"/>
      <c r="D103" s="16"/>
    </row>
    <row r="104" spans="1:4" x14ac:dyDescent="0.3">
      <c r="A104" s="4"/>
      <c r="B104" s="4"/>
      <c r="C104" s="4"/>
      <c r="D104" s="16"/>
    </row>
    <row r="105" spans="1:4" x14ac:dyDescent="0.3">
      <c r="A105" s="4"/>
      <c r="B105" s="4"/>
      <c r="C105" s="4"/>
      <c r="D105" s="16"/>
    </row>
    <row r="106" spans="1:4" x14ac:dyDescent="0.3">
      <c r="A106" s="4"/>
      <c r="B106" s="4"/>
      <c r="C106" s="4"/>
      <c r="D106" s="16"/>
    </row>
    <row r="107" spans="1:4" x14ac:dyDescent="0.3">
      <c r="A107" s="4"/>
      <c r="B107" s="4"/>
      <c r="C107" s="4"/>
      <c r="D107" s="16"/>
    </row>
    <row r="108" spans="1:4" x14ac:dyDescent="0.3">
      <c r="A108" s="4"/>
      <c r="B108" s="4"/>
      <c r="C108" s="4"/>
      <c r="D108" s="16"/>
    </row>
    <row r="109" spans="1:4" x14ac:dyDescent="0.3">
      <c r="A109" s="4"/>
      <c r="B109" s="4"/>
      <c r="C109" s="4"/>
      <c r="D109" s="16"/>
    </row>
    <row r="110" spans="1:4" x14ac:dyDescent="0.3">
      <c r="A110" s="4"/>
      <c r="B110" s="4"/>
      <c r="C110" s="4"/>
      <c r="D110" s="16"/>
    </row>
    <row r="111" spans="1:4" x14ac:dyDescent="0.3">
      <c r="A111" s="4"/>
      <c r="B111" s="4"/>
      <c r="C111" s="4"/>
      <c r="D111" s="16"/>
    </row>
    <row r="112" spans="1:4" x14ac:dyDescent="0.3">
      <c r="A112" s="4"/>
      <c r="B112" s="4"/>
      <c r="C112" s="4"/>
      <c r="D112" s="16"/>
    </row>
    <row r="113" spans="1:4" x14ac:dyDescent="0.3">
      <c r="A113" s="4"/>
      <c r="B113" s="4"/>
      <c r="C113" s="4"/>
      <c r="D113" s="16"/>
    </row>
    <row r="114" spans="1:4" x14ac:dyDescent="0.3">
      <c r="A114" s="4"/>
      <c r="B114" s="4"/>
      <c r="C114" s="4"/>
      <c r="D114" s="16"/>
    </row>
    <row r="115" spans="1:4" x14ac:dyDescent="0.3">
      <c r="A115" s="4"/>
      <c r="B115" s="4"/>
      <c r="C115" s="4"/>
      <c r="D115" s="16"/>
    </row>
    <row r="116" spans="1:4" x14ac:dyDescent="0.3">
      <c r="A116" s="4"/>
      <c r="B116" s="4"/>
      <c r="C116" s="4"/>
      <c r="D116" s="16"/>
    </row>
    <row r="117" spans="1:4" x14ac:dyDescent="0.3">
      <c r="A117" s="4"/>
      <c r="B117" s="4"/>
      <c r="C117" s="4"/>
      <c r="D117" s="16"/>
    </row>
    <row r="118" spans="1:4" x14ac:dyDescent="0.3">
      <c r="A118" s="4"/>
      <c r="B118" s="4"/>
      <c r="C118" s="4"/>
    </row>
    <row r="119" spans="1:4" x14ac:dyDescent="0.3">
      <c r="A119" s="4"/>
      <c r="B119" s="4"/>
      <c r="C119" s="4"/>
    </row>
    <row r="120" spans="1:4" x14ac:dyDescent="0.3">
      <c r="A120" s="4"/>
      <c r="B120" s="4"/>
      <c r="C120" s="4"/>
    </row>
    <row r="121" spans="1:4" x14ac:dyDescent="0.3">
      <c r="A121" s="4"/>
      <c r="B121" s="4"/>
      <c r="C121" s="4"/>
    </row>
    <row r="122" spans="1:4" x14ac:dyDescent="0.3">
      <c r="A122" s="4"/>
      <c r="B122" s="4"/>
      <c r="C122" s="4"/>
    </row>
    <row r="123" spans="1:4" x14ac:dyDescent="0.3">
      <c r="A123" s="4"/>
      <c r="B123" s="4"/>
      <c r="C123" s="4"/>
    </row>
    <row r="124" spans="1:4" x14ac:dyDescent="0.3">
      <c r="A124" s="4"/>
      <c r="B124" s="4"/>
      <c r="C124" s="4"/>
    </row>
    <row r="125" spans="1:4" x14ac:dyDescent="0.3">
      <c r="A125" s="4"/>
      <c r="B125" s="4"/>
      <c r="C125" s="4"/>
    </row>
    <row r="126" spans="1:4" x14ac:dyDescent="0.3">
      <c r="A126" s="4"/>
      <c r="B126" s="4"/>
      <c r="C126" s="4"/>
    </row>
    <row r="127" spans="1:4" x14ac:dyDescent="0.3">
      <c r="A127" s="4"/>
      <c r="B127" s="4"/>
      <c r="C127" s="4"/>
    </row>
    <row r="128" spans="1:4" x14ac:dyDescent="0.3">
      <c r="A128" s="4"/>
      <c r="B128" s="4"/>
      <c r="C128" s="4"/>
    </row>
    <row r="129" spans="1:3" x14ac:dyDescent="0.3">
      <c r="A129" s="4"/>
      <c r="B129" s="4"/>
      <c r="C129" s="4"/>
    </row>
    <row r="130" spans="1:3" x14ac:dyDescent="0.3">
      <c r="A130" s="4"/>
      <c r="B130" s="4"/>
      <c r="C130" s="4"/>
    </row>
    <row r="131" spans="1:3" x14ac:dyDescent="0.3">
      <c r="A131" s="4"/>
      <c r="B131" s="4"/>
      <c r="C131" s="4"/>
    </row>
    <row r="132" spans="1:3" x14ac:dyDescent="0.3">
      <c r="A132" s="4"/>
      <c r="B132" s="4"/>
      <c r="C132" s="4"/>
    </row>
    <row r="133" spans="1:3" x14ac:dyDescent="0.3">
      <c r="A133" s="4"/>
      <c r="B133" s="4"/>
      <c r="C133" s="4"/>
    </row>
    <row r="134" spans="1:3" x14ac:dyDescent="0.3">
      <c r="A134" s="4"/>
      <c r="B134" s="4"/>
      <c r="C134" s="4"/>
    </row>
    <row r="135" spans="1:3" x14ac:dyDescent="0.3">
      <c r="A135" s="4"/>
      <c r="B135" s="4"/>
      <c r="C135" s="4"/>
    </row>
    <row r="136" spans="1:3" x14ac:dyDescent="0.3">
      <c r="A136" s="4"/>
      <c r="B136" s="4"/>
      <c r="C136" s="4"/>
    </row>
    <row r="137" spans="1:3" x14ac:dyDescent="0.3">
      <c r="A137" s="4"/>
      <c r="B137" s="4"/>
      <c r="C137" s="4"/>
    </row>
    <row r="138" spans="1:3" x14ac:dyDescent="0.3">
      <c r="A138" s="4"/>
      <c r="B138" s="4"/>
      <c r="C138" s="4"/>
    </row>
    <row r="139" spans="1:3" x14ac:dyDescent="0.3">
      <c r="A139" s="4"/>
      <c r="B139" s="4"/>
      <c r="C139" s="4"/>
    </row>
    <row r="140" spans="1:3" x14ac:dyDescent="0.3">
      <c r="A140" s="4"/>
      <c r="B140" s="4"/>
      <c r="C140" s="4"/>
    </row>
    <row r="141" spans="1:3" x14ac:dyDescent="0.3">
      <c r="A141" s="4"/>
      <c r="B141" s="4"/>
      <c r="C141" s="4"/>
    </row>
    <row r="142" spans="1:3" x14ac:dyDescent="0.3">
      <c r="A142" s="4"/>
      <c r="B142" s="4"/>
      <c r="C142" s="4"/>
    </row>
    <row r="143" spans="1:3" x14ac:dyDescent="0.3">
      <c r="A143" s="4"/>
      <c r="B143" s="4"/>
      <c r="C143" s="4"/>
    </row>
    <row r="144" spans="1:3" x14ac:dyDescent="0.3">
      <c r="A144" s="4"/>
      <c r="B144" s="4"/>
      <c r="C144" s="4"/>
    </row>
    <row r="145" spans="1:3" x14ac:dyDescent="0.3">
      <c r="A145" s="4"/>
      <c r="B145" s="4"/>
      <c r="C145" s="4"/>
    </row>
    <row r="146" spans="1:3" x14ac:dyDescent="0.3">
      <c r="A146" s="4"/>
      <c r="B146" s="4"/>
      <c r="C146" s="4"/>
    </row>
    <row r="147" spans="1:3" x14ac:dyDescent="0.3">
      <c r="A147" s="4"/>
      <c r="B147" s="4"/>
      <c r="C147" s="4"/>
    </row>
    <row r="148" spans="1:3" x14ac:dyDescent="0.3">
      <c r="A148" s="4"/>
      <c r="B148" s="4"/>
      <c r="C148" s="4"/>
    </row>
    <row r="149" spans="1:3" x14ac:dyDescent="0.3">
      <c r="A149" s="4"/>
      <c r="B149" s="4"/>
      <c r="C149" s="4"/>
    </row>
    <row r="150" spans="1:3" x14ac:dyDescent="0.3">
      <c r="A150" s="4"/>
      <c r="B150" s="4"/>
      <c r="C150" s="4"/>
    </row>
    <row r="151" spans="1:3" x14ac:dyDescent="0.3">
      <c r="A151" s="4"/>
      <c r="B151" s="4"/>
      <c r="C151" s="4"/>
    </row>
    <row r="152" spans="1:3" x14ac:dyDescent="0.3">
      <c r="A152" s="4"/>
      <c r="B152" s="4"/>
      <c r="C152" s="4"/>
    </row>
    <row r="153" spans="1:3" x14ac:dyDescent="0.3">
      <c r="A153" s="4"/>
      <c r="B153" s="4"/>
      <c r="C153" s="4"/>
    </row>
    <row r="154" spans="1:3" x14ac:dyDescent="0.3">
      <c r="A154" s="4"/>
      <c r="B154" s="4"/>
      <c r="C154" s="4"/>
    </row>
    <row r="155" spans="1:3" x14ac:dyDescent="0.3">
      <c r="A155" s="4"/>
      <c r="B155" s="4"/>
      <c r="C155" s="4"/>
    </row>
    <row r="156" spans="1:3" x14ac:dyDescent="0.3">
      <c r="A156" s="4"/>
      <c r="B156" s="4"/>
      <c r="C156" s="4"/>
    </row>
    <row r="157" spans="1:3" x14ac:dyDescent="0.3">
      <c r="A157" s="4"/>
      <c r="B157" s="4"/>
      <c r="C157" s="4"/>
    </row>
    <row r="158" spans="1:3" x14ac:dyDescent="0.3">
      <c r="A158" s="4"/>
      <c r="B158" s="4"/>
      <c r="C158" s="4"/>
    </row>
    <row r="159" spans="1:3" x14ac:dyDescent="0.3">
      <c r="A159" s="4"/>
      <c r="B159" s="4"/>
      <c r="C159" s="4"/>
    </row>
    <row r="160" spans="1:3" x14ac:dyDescent="0.3">
      <c r="A160" s="4"/>
      <c r="B160" s="4"/>
      <c r="C160" s="4"/>
    </row>
    <row r="161" spans="1:3" x14ac:dyDescent="0.3">
      <c r="A161" s="4"/>
      <c r="B161" s="4"/>
      <c r="C161" s="4"/>
    </row>
    <row r="162" spans="1:3" x14ac:dyDescent="0.3">
      <c r="A162" s="4"/>
      <c r="B162" s="4"/>
      <c r="C162" s="4"/>
    </row>
    <row r="163" spans="1:3" x14ac:dyDescent="0.3">
      <c r="A163" s="4"/>
      <c r="B163" s="4"/>
      <c r="C163" s="4"/>
    </row>
    <row r="164" spans="1:3" x14ac:dyDescent="0.3">
      <c r="A164" s="4"/>
      <c r="B164" s="4"/>
      <c r="C164" s="4"/>
    </row>
    <row r="165" spans="1:3" x14ac:dyDescent="0.3">
      <c r="A165" s="4"/>
      <c r="B165" s="4"/>
      <c r="C165" s="4"/>
    </row>
    <row r="166" spans="1:3" x14ac:dyDescent="0.3">
      <c r="A166" s="4"/>
      <c r="B166" s="4"/>
      <c r="C166" s="4"/>
    </row>
    <row r="167" spans="1:3" x14ac:dyDescent="0.3">
      <c r="A167" s="4"/>
      <c r="B167" s="4"/>
      <c r="C167" s="4"/>
    </row>
    <row r="168" spans="1:3" x14ac:dyDescent="0.3">
      <c r="A168" s="4"/>
      <c r="B168" s="4"/>
      <c r="C168" s="4"/>
    </row>
    <row r="169" spans="1:3" x14ac:dyDescent="0.3">
      <c r="A169" s="4"/>
      <c r="B169" s="4"/>
      <c r="C169" s="4"/>
    </row>
    <row r="170" spans="1:3" x14ac:dyDescent="0.3">
      <c r="A170" s="4"/>
      <c r="B170" s="4"/>
      <c r="C170" s="4"/>
    </row>
    <row r="171" spans="1:3" x14ac:dyDescent="0.3">
      <c r="A171" s="4"/>
      <c r="B171" s="4"/>
      <c r="C171" s="4"/>
    </row>
    <row r="172" spans="1:3" x14ac:dyDescent="0.3">
      <c r="A172" s="4"/>
      <c r="B172" s="4"/>
      <c r="C172" s="4"/>
    </row>
    <row r="173" spans="1:3" x14ac:dyDescent="0.3">
      <c r="A173" s="4"/>
      <c r="B173" s="4"/>
      <c r="C173" s="4"/>
    </row>
    <row r="174" spans="1:3" x14ac:dyDescent="0.3">
      <c r="A174" s="4"/>
      <c r="B174" s="4"/>
      <c r="C174" s="4"/>
    </row>
    <row r="175" spans="1:3" x14ac:dyDescent="0.3">
      <c r="A175" s="4"/>
      <c r="B175" s="4"/>
      <c r="C175" s="4"/>
    </row>
    <row r="176" spans="1:3" x14ac:dyDescent="0.3">
      <c r="A176" s="4"/>
      <c r="B176" s="4"/>
      <c r="C176" s="4"/>
    </row>
    <row r="177" spans="1:3" x14ac:dyDescent="0.3">
      <c r="A177" s="4"/>
      <c r="B177" s="4"/>
      <c r="C177" s="4"/>
    </row>
    <row r="178" spans="1:3" x14ac:dyDescent="0.3">
      <c r="A178" s="4"/>
      <c r="B178" s="4"/>
      <c r="C178" s="4"/>
    </row>
    <row r="179" spans="1:3" x14ac:dyDescent="0.3">
      <c r="A179" s="4"/>
      <c r="B179" s="4"/>
      <c r="C179" s="4"/>
    </row>
    <row r="180" spans="1:3" x14ac:dyDescent="0.3">
      <c r="A180" s="4"/>
      <c r="B180" s="4"/>
      <c r="C180" s="4"/>
    </row>
    <row r="181" spans="1:3" x14ac:dyDescent="0.3">
      <c r="A181" s="4"/>
      <c r="B181" s="4"/>
      <c r="C181" s="4"/>
    </row>
    <row r="182" spans="1:3" x14ac:dyDescent="0.3">
      <c r="A182" s="4"/>
      <c r="B182" s="4"/>
      <c r="C182" s="4"/>
    </row>
    <row r="183" spans="1:3" x14ac:dyDescent="0.3">
      <c r="A183" s="4"/>
      <c r="B183" s="4"/>
      <c r="C183" s="4"/>
    </row>
    <row r="184" spans="1:3" x14ac:dyDescent="0.3">
      <c r="A184" s="4"/>
      <c r="B184" s="4"/>
      <c r="C184" s="4"/>
    </row>
    <row r="185" spans="1:3" x14ac:dyDescent="0.3">
      <c r="A185" s="4"/>
      <c r="B185" s="4"/>
      <c r="C185" s="4"/>
    </row>
    <row r="186" spans="1:3" x14ac:dyDescent="0.3">
      <c r="A186" s="4"/>
      <c r="B186" s="4"/>
      <c r="C186" s="4"/>
    </row>
    <row r="187" spans="1:3" x14ac:dyDescent="0.3">
      <c r="A187" s="4"/>
      <c r="B187" s="4"/>
      <c r="C187" s="4"/>
    </row>
    <row r="188" spans="1:3" x14ac:dyDescent="0.3">
      <c r="A188" s="4"/>
      <c r="B188" s="4"/>
      <c r="C188" s="4"/>
    </row>
    <row r="189" spans="1:3" x14ac:dyDescent="0.3">
      <c r="A189" s="4"/>
      <c r="B189" s="4"/>
      <c r="C189" s="4"/>
    </row>
    <row r="190" spans="1:3" x14ac:dyDescent="0.3">
      <c r="A190" s="4"/>
      <c r="B190" s="4"/>
      <c r="C190" s="4"/>
    </row>
    <row r="191" spans="1:3" x14ac:dyDescent="0.3">
      <c r="A191" s="4"/>
      <c r="B191" s="4"/>
      <c r="C191" s="4"/>
    </row>
    <row r="192" spans="1:3" x14ac:dyDescent="0.3">
      <c r="A192" s="4"/>
      <c r="B192" s="4"/>
      <c r="C192" s="4"/>
    </row>
    <row r="193" spans="1:3" x14ac:dyDescent="0.3">
      <c r="A193" s="4"/>
      <c r="B193" s="4"/>
      <c r="C193" s="4"/>
    </row>
    <row r="194" spans="1:3" x14ac:dyDescent="0.3">
      <c r="A194" s="4"/>
      <c r="B194" s="4"/>
      <c r="C194" s="4"/>
    </row>
    <row r="195" spans="1:3" x14ac:dyDescent="0.3">
      <c r="A195" s="4"/>
      <c r="B195" s="4"/>
      <c r="C195" s="4"/>
    </row>
    <row r="196" spans="1:3" x14ac:dyDescent="0.3">
      <c r="A196" s="4"/>
      <c r="B196" s="4"/>
      <c r="C196" s="4"/>
    </row>
    <row r="197" spans="1:3" x14ac:dyDescent="0.3">
      <c r="A197" s="4"/>
      <c r="B197" s="4"/>
      <c r="C197" s="4"/>
    </row>
    <row r="198" spans="1:3" x14ac:dyDescent="0.3">
      <c r="A198" s="4"/>
      <c r="B198" s="4"/>
      <c r="C198" s="4"/>
    </row>
    <row r="199" spans="1:3" x14ac:dyDescent="0.3">
      <c r="A199" s="4"/>
      <c r="B199" s="4"/>
      <c r="C199" s="4"/>
    </row>
    <row r="200" spans="1:3" x14ac:dyDescent="0.3">
      <c r="A200" s="4"/>
      <c r="B200" s="4"/>
      <c r="C200" s="4"/>
    </row>
    <row r="201" spans="1:3" x14ac:dyDescent="0.3">
      <c r="A201" s="4"/>
      <c r="B201" s="4"/>
      <c r="C201" s="4"/>
    </row>
    <row r="202" spans="1:3" x14ac:dyDescent="0.3">
      <c r="A202" s="4"/>
      <c r="B202" s="4"/>
      <c r="C202" s="4"/>
    </row>
    <row r="203" spans="1:3" x14ac:dyDescent="0.3">
      <c r="A203" s="4"/>
      <c r="B203" s="4"/>
      <c r="C203" s="4"/>
    </row>
    <row r="204" spans="1:3" x14ac:dyDescent="0.3">
      <c r="A204" s="4"/>
      <c r="B204" s="4"/>
      <c r="C204" s="4"/>
    </row>
    <row r="205" spans="1:3" x14ac:dyDescent="0.3">
      <c r="A205" s="4"/>
      <c r="B205" s="4"/>
      <c r="C205" s="4"/>
    </row>
    <row r="206" spans="1:3" x14ac:dyDescent="0.3">
      <c r="A206" s="4"/>
      <c r="B206" s="4"/>
      <c r="C206" s="4"/>
    </row>
    <row r="207" spans="1:3" x14ac:dyDescent="0.3">
      <c r="A207" s="4"/>
      <c r="B207" s="4"/>
      <c r="C207" s="4"/>
    </row>
    <row r="208" spans="1:3" x14ac:dyDescent="0.3">
      <c r="A208" s="4"/>
      <c r="B208" s="4"/>
      <c r="C208" s="4"/>
    </row>
    <row r="209" spans="1:3" x14ac:dyDescent="0.3">
      <c r="A209" s="4"/>
      <c r="B209" s="4"/>
      <c r="C209" s="4"/>
    </row>
    <row r="210" spans="1:3" x14ac:dyDescent="0.3">
      <c r="A210" s="4"/>
      <c r="B210" s="4"/>
      <c r="C210" s="4"/>
    </row>
    <row r="211" spans="1:3" x14ac:dyDescent="0.3">
      <c r="A211" s="4"/>
      <c r="B211" s="4"/>
      <c r="C211" s="4"/>
    </row>
    <row r="212" spans="1:3" x14ac:dyDescent="0.3">
      <c r="A212" s="4"/>
      <c r="B212" s="4"/>
      <c r="C212" s="4"/>
    </row>
    <row r="213" spans="1:3" x14ac:dyDescent="0.3">
      <c r="A213" s="4"/>
      <c r="B213" s="4"/>
      <c r="C213" s="4"/>
    </row>
    <row r="214" spans="1:3" x14ac:dyDescent="0.3">
      <c r="A214" s="4"/>
      <c r="B214" s="4"/>
      <c r="C214" s="4"/>
    </row>
    <row r="215" spans="1:3" x14ac:dyDescent="0.3">
      <c r="A215" s="4"/>
      <c r="B215" s="4"/>
      <c r="C215" s="4"/>
    </row>
    <row r="216" spans="1:3" x14ac:dyDescent="0.3">
      <c r="A216" s="4"/>
      <c r="B216" s="4"/>
      <c r="C216" s="4"/>
    </row>
    <row r="217" spans="1:3" x14ac:dyDescent="0.3">
      <c r="A217" s="4"/>
      <c r="B217" s="4"/>
      <c r="C217" s="4"/>
    </row>
    <row r="218" spans="1:3" x14ac:dyDescent="0.3">
      <c r="A218" s="4"/>
      <c r="B218" s="4"/>
      <c r="C218" s="4"/>
    </row>
    <row r="219" spans="1:3" x14ac:dyDescent="0.3">
      <c r="A219" s="4"/>
      <c r="B219" s="4"/>
      <c r="C219" s="4"/>
    </row>
    <row r="220" spans="1:3" x14ac:dyDescent="0.3">
      <c r="A220" s="4"/>
      <c r="B220" s="4"/>
      <c r="C220" s="4"/>
    </row>
    <row r="221" spans="1:3" x14ac:dyDescent="0.3">
      <c r="A221" s="4"/>
      <c r="B221" s="4"/>
      <c r="C221" s="4"/>
    </row>
    <row r="222" spans="1:3" x14ac:dyDescent="0.3">
      <c r="A222" s="4"/>
      <c r="B222" s="4"/>
      <c r="C222" s="4"/>
    </row>
    <row r="223" spans="1:3" x14ac:dyDescent="0.3">
      <c r="A223" s="4"/>
      <c r="B223" s="4"/>
      <c r="C223" s="4"/>
    </row>
    <row r="224" spans="1:3" x14ac:dyDescent="0.3">
      <c r="A224" s="4"/>
      <c r="B224" s="4"/>
      <c r="C224" s="4"/>
    </row>
    <row r="225" spans="1:3" x14ac:dyDescent="0.3">
      <c r="A225" s="4"/>
      <c r="B225" s="4"/>
      <c r="C225" s="4"/>
    </row>
    <row r="226" spans="1:3" x14ac:dyDescent="0.3">
      <c r="A226" s="4"/>
      <c r="B226" s="4"/>
      <c r="C226" s="4"/>
    </row>
    <row r="227" spans="1:3" x14ac:dyDescent="0.3">
      <c r="A227" s="4"/>
      <c r="B227" s="4"/>
      <c r="C227" s="4"/>
    </row>
    <row r="228" spans="1:3" x14ac:dyDescent="0.3">
      <c r="A228" s="4"/>
      <c r="B228" s="4"/>
      <c r="C228" s="4"/>
    </row>
    <row r="229" spans="1:3" x14ac:dyDescent="0.3">
      <c r="A229" s="4"/>
      <c r="B229" s="4"/>
      <c r="C229" s="4"/>
    </row>
    <row r="230" spans="1:3" x14ac:dyDescent="0.3">
      <c r="A230" s="4"/>
      <c r="B230" s="4"/>
      <c r="C230" s="4"/>
    </row>
    <row r="231" spans="1:3" x14ac:dyDescent="0.3">
      <c r="A231" s="4"/>
      <c r="B231" s="4"/>
      <c r="C231" s="4"/>
    </row>
    <row r="232" spans="1:3" x14ac:dyDescent="0.3">
      <c r="A232" s="4"/>
      <c r="B232" s="4"/>
      <c r="C232" s="4"/>
    </row>
    <row r="233" spans="1:3" x14ac:dyDescent="0.3">
      <c r="A233" s="4"/>
      <c r="B233" s="4"/>
      <c r="C233" s="4"/>
    </row>
    <row r="234" spans="1:3" x14ac:dyDescent="0.3">
      <c r="A234" s="4"/>
      <c r="B234" s="4"/>
      <c r="C234" s="4"/>
    </row>
    <row r="235" spans="1:3" x14ac:dyDescent="0.3">
      <c r="A235" s="4"/>
      <c r="B235" s="4"/>
      <c r="C235" s="4"/>
    </row>
    <row r="236" spans="1:3" x14ac:dyDescent="0.3">
      <c r="A236" s="4"/>
      <c r="B236" s="4"/>
      <c r="C236" s="4"/>
    </row>
    <row r="237" spans="1:3" x14ac:dyDescent="0.3">
      <c r="A237" s="4"/>
      <c r="B237" s="4"/>
      <c r="C237" s="4"/>
    </row>
    <row r="238" spans="1:3" x14ac:dyDescent="0.3">
      <c r="A238" s="4"/>
      <c r="B238" s="4"/>
      <c r="C238" s="4"/>
    </row>
    <row r="239" spans="1:3" x14ac:dyDescent="0.3">
      <c r="A239" s="4"/>
      <c r="B239" s="4"/>
      <c r="C239" s="4"/>
    </row>
    <row r="240" spans="1:3" x14ac:dyDescent="0.3">
      <c r="A240" s="4"/>
      <c r="B240" s="4"/>
      <c r="C240" s="4"/>
    </row>
    <row r="241" spans="1:3" x14ac:dyDescent="0.3">
      <c r="A241" s="4"/>
      <c r="B241" s="4"/>
      <c r="C241" s="4"/>
    </row>
    <row r="242" spans="1:3" x14ac:dyDescent="0.3">
      <c r="A242" s="4"/>
      <c r="B242" s="4"/>
      <c r="C242" s="4"/>
    </row>
    <row r="243" spans="1:3" x14ac:dyDescent="0.3">
      <c r="A243" s="4"/>
      <c r="B243" s="4"/>
      <c r="C243" s="4"/>
    </row>
    <row r="244" spans="1:3" x14ac:dyDescent="0.3">
      <c r="A244" s="4"/>
      <c r="B244" s="4"/>
      <c r="C244" s="4"/>
    </row>
    <row r="245" spans="1:3" x14ac:dyDescent="0.3">
      <c r="A245" s="4"/>
      <c r="B245" s="4"/>
      <c r="C245" s="4"/>
    </row>
    <row r="246" spans="1:3" x14ac:dyDescent="0.3">
      <c r="A246" s="4"/>
      <c r="B246" s="4"/>
      <c r="C246" s="4"/>
    </row>
    <row r="247" spans="1:3" x14ac:dyDescent="0.3">
      <c r="A247" s="4"/>
      <c r="B247" s="4"/>
      <c r="C247" s="4"/>
    </row>
    <row r="248" spans="1:3" x14ac:dyDescent="0.3">
      <c r="A248" s="4"/>
      <c r="B248" s="4"/>
      <c r="C248" s="4"/>
    </row>
    <row r="249" spans="1:3" x14ac:dyDescent="0.3">
      <c r="A249" s="4"/>
      <c r="B249" s="4"/>
      <c r="C249" s="4"/>
    </row>
    <row r="250" spans="1:3" x14ac:dyDescent="0.3">
      <c r="A250" s="4"/>
      <c r="B250" s="4"/>
      <c r="C250" s="4"/>
    </row>
    <row r="251" spans="1:3" x14ac:dyDescent="0.3">
      <c r="A251" s="4"/>
      <c r="B251" s="4"/>
      <c r="C251" s="4"/>
    </row>
    <row r="252" spans="1:3" x14ac:dyDescent="0.3">
      <c r="A252" s="4"/>
      <c r="B252" s="4"/>
      <c r="C252" s="4"/>
    </row>
    <row r="253" spans="1:3" x14ac:dyDescent="0.3">
      <c r="A253" s="4"/>
      <c r="B253" s="4"/>
      <c r="C253" s="4"/>
    </row>
    <row r="254" spans="1:3" x14ac:dyDescent="0.3">
      <c r="A254" s="4"/>
      <c r="B254" s="4"/>
      <c r="C254" s="4"/>
    </row>
    <row r="255" spans="1:3" x14ac:dyDescent="0.3">
      <c r="A255" s="4"/>
      <c r="B255" s="4"/>
      <c r="C255" s="4"/>
    </row>
    <row r="256" spans="1:3" x14ac:dyDescent="0.3">
      <c r="A256" s="4"/>
      <c r="B256" s="4"/>
      <c r="C256" s="4"/>
    </row>
    <row r="257" spans="1:3" x14ac:dyDescent="0.3">
      <c r="A257" s="4"/>
      <c r="B257" s="4"/>
      <c r="C257" s="4"/>
    </row>
    <row r="258" spans="1:3" x14ac:dyDescent="0.3">
      <c r="A258" s="4"/>
      <c r="B258" s="4"/>
      <c r="C258" s="4"/>
    </row>
    <row r="259" spans="1:3" x14ac:dyDescent="0.3">
      <c r="A259" s="4"/>
      <c r="B259" s="4"/>
      <c r="C259" s="4"/>
    </row>
    <row r="260" spans="1:3" x14ac:dyDescent="0.3">
      <c r="A260" s="4"/>
      <c r="B260" s="4"/>
      <c r="C260" s="4"/>
    </row>
    <row r="261" spans="1:3" x14ac:dyDescent="0.3">
      <c r="A261" s="4"/>
      <c r="B261" s="4"/>
      <c r="C261" s="4"/>
    </row>
    <row r="262" spans="1:3" x14ac:dyDescent="0.3">
      <c r="A262" s="4"/>
      <c r="B262" s="4"/>
      <c r="C262" s="4"/>
    </row>
    <row r="263" spans="1:3" x14ac:dyDescent="0.3">
      <c r="A263" s="4"/>
      <c r="B263" s="4"/>
      <c r="C263" s="4"/>
    </row>
    <row r="264" spans="1:3" x14ac:dyDescent="0.3">
      <c r="A264" s="4"/>
      <c r="B264" s="4"/>
      <c r="C264" s="4"/>
    </row>
    <row r="265" spans="1:3" x14ac:dyDescent="0.3">
      <c r="A265" s="4"/>
      <c r="B265" s="4"/>
      <c r="C265" s="4"/>
    </row>
    <row r="266" spans="1:3" x14ac:dyDescent="0.3">
      <c r="A266" s="4"/>
      <c r="B266" s="4"/>
      <c r="C266" s="4"/>
    </row>
    <row r="267" spans="1:3" x14ac:dyDescent="0.3">
      <c r="A267" s="4"/>
      <c r="B267" s="4"/>
      <c r="C267" s="4"/>
    </row>
    <row r="268" spans="1:3" x14ac:dyDescent="0.3">
      <c r="A268" s="4"/>
      <c r="B268" s="4"/>
      <c r="C268" s="4"/>
    </row>
    <row r="269" spans="1:3" x14ac:dyDescent="0.3">
      <c r="A269" s="4"/>
      <c r="B269" s="4"/>
      <c r="C269" s="4"/>
    </row>
    <row r="270" spans="1:3" x14ac:dyDescent="0.3">
      <c r="A270" s="4"/>
      <c r="B270" s="4"/>
      <c r="C270" s="4"/>
    </row>
    <row r="271" spans="1:3" x14ac:dyDescent="0.3">
      <c r="A271" s="4"/>
      <c r="B271" s="4"/>
      <c r="C271" s="4"/>
    </row>
    <row r="272" spans="1:3" x14ac:dyDescent="0.3">
      <c r="A272" s="4"/>
      <c r="B272" s="4"/>
      <c r="C272" s="4"/>
    </row>
    <row r="273" spans="1:3" x14ac:dyDescent="0.3">
      <c r="A273" s="4"/>
      <c r="B273" s="4"/>
      <c r="C273" s="4"/>
    </row>
    <row r="274" spans="1:3" x14ac:dyDescent="0.3">
      <c r="A274" s="4"/>
      <c r="B274" s="4"/>
      <c r="C274" s="4"/>
    </row>
    <row r="275" spans="1:3" x14ac:dyDescent="0.3">
      <c r="A275" s="4"/>
      <c r="B275" s="4"/>
      <c r="C275" s="4"/>
    </row>
    <row r="276" spans="1:3" x14ac:dyDescent="0.3">
      <c r="A276" s="4"/>
      <c r="B276" s="4"/>
      <c r="C276" s="4"/>
    </row>
    <row r="277" spans="1:3" x14ac:dyDescent="0.3">
      <c r="A277" s="4"/>
      <c r="B277" s="4"/>
      <c r="C277" s="4"/>
    </row>
    <row r="278" spans="1:3" x14ac:dyDescent="0.3">
      <c r="A278" s="4"/>
      <c r="B278" s="4"/>
      <c r="C278" s="4"/>
    </row>
    <row r="279" spans="1:3" x14ac:dyDescent="0.3">
      <c r="A279" s="4"/>
      <c r="B279" s="4"/>
      <c r="C279" s="4"/>
    </row>
    <row r="280" spans="1:3" x14ac:dyDescent="0.3">
      <c r="A280" s="4"/>
      <c r="B280" s="4"/>
      <c r="C280" s="4"/>
    </row>
    <row r="281" spans="1:3" x14ac:dyDescent="0.3">
      <c r="A281" s="4"/>
      <c r="B281" s="4"/>
      <c r="C281" s="4"/>
    </row>
    <row r="282" spans="1:3" x14ac:dyDescent="0.3">
      <c r="A282" s="4"/>
      <c r="B282" s="4"/>
      <c r="C282" s="4"/>
    </row>
    <row r="283" spans="1:3" x14ac:dyDescent="0.3">
      <c r="A283" s="5"/>
      <c r="B283" s="5"/>
      <c r="C283" s="5"/>
    </row>
    <row r="284" spans="1:3" x14ac:dyDescent="0.3">
      <c r="A284" s="5"/>
      <c r="B284" s="5"/>
      <c r="C284" s="5"/>
    </row>
    <row r="285" spans="1:3" x14ac:dyDescent="0.3">
      <c r="A285" s="5"/>
      <c r="B285" s="5"/>
      <c r="C285" s="5"/>
    </row>
    <row r="286" spans="1:3" x14ac:dyDescent="0.3">
      <c r="A286" s="5"/>
      <c r="B286" s="5"/>
      <c r="C286" s="5"/>
    </row>
    <row r="287" spans="1:3" x14ac:dyDescent="0.3">
      <c r="A287" s="5"/>
      <c r="B287" s="5"/>
      <c r="C287" s="5"/>
    </row>
    <row r="288" spans="1:3" x14ac:dyDescent="0.3">
      <c r="A288" s="5"/>
      <c r="B288" s="5"/>
      <c r="C288" s="5"/>
    </row>
    <row r="289" spans="1:3" x14ac:dyDescent="0.3">
      <c r="A289" s="5"/>
      <c r="B289" s="5"/>
      <c r="C289" s="5"/>
    </row>
    <row r="290" spans="1:3" x14ac:dyDescent="0.3">
      <c r="A290" s="5"/>
      <c r="B290" s="5"/>
      <c r="C290" s="5"/>
    </row>
    <row r="291" spans="1:3" x14ac:dyDescent="0.3">
      <c r="A291" s="5"/>
      <c r="B291" s="5"/>
      <c r="C291" s="5"/>
    </row>
    <row r="292" spans="1:3" x14ac:dyDescent="0.3">
      <c r="A292" s="5"/>
      <c r="B292" s="5"/>
      <c r="C292" s="5"/>
    </row>
    <row r="293" spans="1:3" x14ac:dyDescent="0.3">
      <c r="A293" s="5"/>
      <c r="B293" s="5"/>
      <c r="C293" s="5"/>
    </row>
    <row r="294" spans="1:3" x14ac:dyDescent="0.3">
      <c r="A294" s="5"/>
      <c r="B294" s="5"/>
      <c r="C294" s="5"/>
    </row>
    <row r="295" spans="1:3" x14ac:dyDescent="0.3">
      <c r="A295" s="5"/>
      <c r="B295" s="5"/>
      <c r="C295" s="5"/>
    </row>
    <row r="296" spans="1:3" x14ac:dyDescent="0.3">
      <c r="A296" s="5"/>
      <c r="B296" s="5"/>
      <c r="C296" s="5"/>
    </row>
    <row r="297" spans="1:3" x14ac:dyDescent="0.3">
      <c r="A297" s="5"/>
      <c r="B297" s="5"/>
      <c r="C297" s="5"/>
    </row>
    <row r="298" spans="1:3" x14ac:dyDescent="0.3">
      <c r="A298" s="5"/>
      <c r="B298" s="5"/>
      <c r="C298" s="5"/>
    </row>
    <row r="299" spans="1:3" x14ac:dyDescent="0.3">
      <c r="A299" s="5"/>
      <c r="B299" s="5"/>
      <c r="C299" s="5"/>
    </row>
    <row r="300" spans="1:3" x14ac:dyDescent="0.3">
      <c r="A300" s="5"/>
      <c r="B300" s="5"/>
      <c r="C300" s="5"/>
    </row>
    <row r="301" spans="1:3" x14ac:dyDescent="0.3">
      <c r="A301" s="5"/>
      <c r="B301" s="5"/>
      <c r="C301" s="5"/>
    </row>
    <row r="302" spans="1:3" x14ac:dyDescent="0.3">
      <c r="A302" s="5"/>
      <c r="B302" s="5"/>
      <c r="C302" s="5"/>
    </row>
    <row r="303" spans="1:3" x14ac:dyDescent="0.3">
      <c r="A303" s="5"/>
      <c r="B303" s="5"/>
      <c r="C303" s="5"/>
    </row>
    <row r="304" spans="1:3" x14ac:dyDescent="0.3">
      <c r="A304" s="5"/>
      <c r="B304" s="5"/>
      <c r="C304" s="5"/>
    </row>
    <row r="305" spans="1:3" x14ac:dyDescent="0.3">
      <c r="A305" s="5"/>
      <c r="B305" s="5"/>
      <c r="C305" s="5"/>
    </row>
    <row r="306" spans="1:3" x14ac:dyDescent="0.3">
      <c r="A306" s="5"/>
      <c r="B306" s="5"/>
      <c r="C306" s="5"/>
    </row>
    <row r="307" spans="1:3" x14ac:dyDescent="0.3">
      <c r="A307" s="5"/>
      <c r="B307" s="5"/>
      <c r="C307" s="5"/>
    </row>
    <row r="308" spans="1:3" x14ac:dyDescent="0.3">
      <c r="A308" s="5"/>
      <c r="B308" s="5"/>
      <c r="C308" s="5"/>
    </row>
    <row r="309" spans="1:3" x14ac:dyDescent="0.3">
      <c r="A309" s="5"/>
      <c r="B309" s="5"/>
      <c r="C309" s="5"/>
    </row>
    <row r="310" spans="1:3" x14ac:dyDescent="0.3">
      <c r="A310" s="5"/>
      <c r="B310" s="5"/>
      <c r="C310" s="5"/>
    </row>
    <row r="311" spans="1:3" x14ac:dyDescent="0.3">
      <c r="A311" s="5"/>
      <c r="B311" s="5"/>
      <c r="C311" s="5"/>
    </row>
    <row r="312" spans="1:3" x14ac:dyDescent="0.3">
      <c r="A312" s="5"/>
      <c r="B312" s="5"/>
      <c r="C312" s="5"/>
    </row>
    <row r="313" spans="1:3" x14ac:dyDescent="0.3">
      <c r="A313" s="5"/>
      <c r="B313" s="5"/>
      <c r="C313" s="5"/>
    </row>
    <row r="314" spans="1:3" x14ac:dyDescent="0.3">
      <c r="A314" s="5"/>
      <c r="B314" s="5"/>
      <c r="C314" s="5"/>
    </row>
    <row r="315" spans="1:3" x14ac:dyDescent="0.3">
      <c r="A315" s="5"/>
      <c r="B315" s="5"/>
      <c r="C315" s="5"/>
    </row>
    <row r="316" spans="1:3" x14ac:dyDescent="0.3">
      <c r="A316" s="5"/>
      <c r="B316" s="5"/>
      <c r="C316" s="5"/>
    </row>
    <row r="317" spans="1:3" x14ac:dyDescent="0.3">
      <c r="A317" s="5"/>
      <c r="B317" s="5"/>
      <c r="C317" s="5"/>
    </row>
    <row r="318" spans="1:3" x14ac:dyDescent="0.3">
      <c r="A318" s="5"/>
      <c r="B318" s="5"/>
      <c r="C318" s="5"/>
    </row>
    <row r="319" spans="1:3" x14ac:dyDescent="0.3">
      <c r="A319" s="5"/>
      <c r="B319" s="5"/>
      <c r="C319" s="5"/>
    </row>
    <row r="320" spans="1:3" x14ac:dyDescent="0.3">
      <c r="A320" s="5"/>
      <c r="B320" s="5"/>
      <c r="C320" s="5"/>
    </row>
    <row r="321" spans="1:3" x14ac:dyDescent="0.3">
      <c r="A321" s="5"/>
      <c r="B321" s="5"/>
      <c r="C321" s="5"/>
    </row>
    <row r="322" spans="1:3" x14ac:dyDescent="0.3">
      <c r="A322" s="5"/>
      <c r="B322" s="5"/>
      <c r="C322" s="5"/>
    </row>
    <row r="323" spans="1:3" x14ac:dyDescent="0.3">
      <c r="A323" s="5"/>
      <c r="B323" s="5"/>
      <c r="C323" s="5"/>
    </row>
    <row r="324" spans="1:3" x14ac:dyDescent="0.3">
      <c r="A324" s="5"/>
      <c r="B324" s="5"/>
      <c r="C324" s="5"/>
    </row>
    <row r="325" spans="1:3" x14ac:dyDescent="0.3">
      <c r="A325" s="5"/>
      <c r="B325" s="5"/>
      <c r="C325" s="5"/>
    </row>
    <row r="326" spans="1:3" x14ac:dyDescent="0.3">
      <c r="A326" s="5"/>
      <c r="B326" s="5"/>
      <c r="C326" s="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23C2-F756-4460-86D2-A43E29B0EB82}">
  <dimension ref="A1:D282"/>
  <sheetViews>
    <sheetView workbookViewId="0">
      <selection activeCell="D3" sqref="D3"/>
    </sheetView>
  </sheetViews>
  <sheetFormatPr baseColWidth="10" defaultColWidth="11.44140625" defaultRowHeight="14.4" x14ac:dyDescent="0.3"/>
  <cols>
    <col min="1" max="1" width="17.88671875" bestFit="1" customWidth="1"/>
    <col min="2" max="2" width="20.6640625" bestFit="1" customWidth="1"/>
    <col min="3" max="3" width="34" customWidth="1"/>
    <col min="4" max="4" width="44.44140625" customWidth="1"/>
  </cols>
  <sheetData>
    <row r="1" spans="1:4" x14ac:dyDescent="0.3">
      <c r="A1" s="3" t="s">
        <v>480</v>
      </c>
      <c r="B1" s="3" t="s">
        <v>64</v>
      </c>
      <c r="C1" s="3" t="s">
        <v>2</v>
      </c>
    </row>
    <row r="2" spans="1:4" x14ac:dyDescent="0.3">
      <c r="A2" s="4" t="s">
        <v>45</v>
      </c>
      <c r="B2" s="4" t="s">
        <v>827</v>
      </c>
      <c r="C2" s="4" t="s">
        <v>828</v>
      </c>
      <c r="D2" t="str">
        <f t="shared" ref="D2:D33" si="0">B2&amp;", "&amp;C2&amp;", Honduras"</f>
        <v>FRANCISCO MORAZAN, TEGUCIGALPA, Honduras</v>
      </c>
    </row>
    <row r="3" spans="1:4" x14ac:dyDescent="0.3">
      <c r="A3" s="4" t="s">
        <v>42</v>
      </c>
      <c r="B3" s="4" t="s">
        <v>827</v>
      </c>
      <c r="C3" s="4" t="s">
        <v>829</v>
      </c>
      <c r="D3" t="str">
        <f t="shared" si="0"/>
        <v>FRANCISCO MORAZAN, CEDROS, Honduras</v>
      </c>
    </row>
    <row r="4" spans="1:4" x14ac:dyDescent="0.3">
      <c r="A4" s="4" t="s">
        <v>42</v>
      </c>
      <c r="B4" s="4" t="s">
        <v>830</v>
      </c>
      <c r="C4" s="4" t="s">
        <v>831</v>
      </c>
      <c r="D4" t="str">
        <f t="shared" si="0"/>
        <v>COMAYAGUA, AJUTERIQUE, Honduras</v>
      </c>
    </row>
    <row r="5" spans="1:4" x14ac:dyDescent="0.3">
      <c r="A5" s="4" t="s">
        <v>42</v>
      </c>
      <c r="B5" s="4" t="s">
        <v>830</v>
      </c>
      <c r="C5" s="4" t="s">
        <v>830</v>
      </c>
      <c r="D5" t="str">
        <f t="shared" si="0"/>
        <v>COMAYAGUA, COMAYAGUA, Honduras</v>
      </c>
    </row>
    <row r="6" spans="1:4" x14ac:dyDescent="0.3">
      <c r="A6" s="4" t="s">
        <v>42</v>
      </c>
      <c r="B6" s="4" t="s">
        <v>830</v>
      </c>
      <c r="C6" s="4" t="s">
        <v>564</v>
      </c>
      <c r="D6" t="str">
        <f t="shared" si="0"/>
        <v>COMAYAGUA, EL ROSARIO, Honduras</v>
      </c>
    </row>
    <row r="7" spans="1:4" x14ac:dyDescent="0.3">
      <c r="A7" s="4" t="s">
        <v>42</v>
      </c>
      <c r="B7" s="4" t="s">
        <v>830</v>
      </c>
      <c r="C7" s="4" t="s">
        <v>832</v>
      </c>
      <c r="D7" t="str">
        <f t="shared" si="0"/>
        <v>COMAYAGUA, ESQUIAS, Honduras</v>
      </c>
    </row>
    <row r="8" spans="1:4" x14ac:dyDescent="0.3">
      <c r="A8" s="4" t="s">
        <v>42</v>
      </c>
      <c r="B8" s="4" t="s">
        <v>830</v>
      </c>
      <c r="C8" s="4" t="s">
        <v>833</v>
      </c>
      <c r="D8" t="str">
        <f t="shared" si="0"/>
        <v>COMAYAGUA, HUMUYA, Honduras</v>
      </c>
    </row>
    <row r="9" spans="1:4" x14ac:dyDescent="0.3">
      <c r="A9" s="4" t="s">
        <v>42</v>
      </c>
      <c r="B9" s="4" t="s">
        <v>830</v>
      </c>
      <c r="C9" s="4" t="s">
        <v>523</v>
      </c>
      <c r="D9" t="str">
        <f t="shared" si="0"/>
        <v>COMAYAGUA, LA LIBERTAD, Honduras</v>
      </c>
    </row>
    <row r="10" spans="1:4" x14ac:dyDescent="0.3">
      <c r="A10" s="4" t="s">
        <v>42</v>
      </c>
      <c r="B10" s="4" t="s">
        <v>827</v>
      </c>
      <c r="C10" s="4" t="s">
        <v>834</v>
      </c>
      <c r="D10" t="str">
        <f t="shared" si="0"/>
        <v>FRANCISCO MORAZAN, CURAREN, Honduras</v>
      </c>
    </row>
    <row r="11" spans="1:4" x14ac:dyDescent="0.3">
      <c r="A11" s="4" t="s">
        <v>42</v>
      </c>
      <c r="B11" s="4" t="s">
        <v>827</v>
      </c>
      <c r="C11" s="4" t="s">
        <v>487</v>
      </c>
      <c r="D11" t="str">
        <f t="shared" si="0"/>
        <v>FRANCISCO MORAZAN, EL PORVENIR, Honduras</v>
      </c>
    </row>
    <row r="12" spans="1:4" x14ac:dyDescent="0.3">
      <c r="A12" s="4" t="s">
        <v>42</v>
      </c>
      <c r="B12" s="4" t="s">
        <v>830</v>
      </c>
      <c r="C12" s="4" t="s">
        <v>835</v>
      </c>
      <c r="D12" t="str">
        <f t="shared" si="0"/>
        <v>COMAYAGUA, LA TRINIDAD, Honduras</v>
      </c>
    </row>
    <row r="13" spans="1:4" x14ac:dyDescent="0.3">
      <c r="A13" s="4" t="s">
        <v>42</v>
      </c>
      <c r="B13" s="4" t="s">
        <v>827</v>
      </c>
      <c r="C13" s="4" t="s">
        <v>836</v>
      </c>
      <c r="D13" t="str">
        <f t="shared" si="0"/>
        <v>FRANCISCO MORAZAN, GUAIMACA, Honduras</v>
      </c>
    </row>
    <row r="14" spans="1:4" x14ac:dyDescent="0.3">
      <c r="A14" s="4" t="s">
        <v>42</v>
      </c>
      <c r="B14" s="4" t="s">
        <v>827</v>
      </c>
      <c r="C14" s="4" t="s">
        <v>837</v>
      </c>
      <c r="D14" t="str">
        <f t="shared" si="0"/>
        <v>FRANCISCO MORAZAN, LEPATERIQUE, Honduras</v>
      </c>
    </row>
    <row r="15" spans="1:4" x14ac:dyDescent="0.3">
      <c r="A15" s="4" t="s">
        <v>42</v>
      </c>
      <c r="B15" s="4" t="s">
        <v>830</v>
      </c>
      <c r="C15" s="4" t="s">
        <v>838</v>
      </c>
      <c r="D15" t="str">
        <f t="shared" si="0"/>
        <v>COMAYAGUA, LAMANI, Honduras</v>
      </c>
    </row>
    <row r="16" spans="1:4" x14ac:dyDescent="0.3">
      <c r="A16" s="4" t="s">
        <v>42</v>
      </c>
      <c r="B16" s="4" t="s">
        <v>827</v>
      </c>
      <c r="C16" s="4" t="s">
        <v>839</v>
      </c>
      <c r="D16" t="str">
        <f t="shared" si="0"/>
        <v>FRANCISCO MORAZAN, OJOJONA, Honduras</v>
      </c>
    </row>
    <row r="17" spans="1:4" x14ac:dyDescent="0.3">
      <c r="A17" s="4" t="s">
        <v>42</v>
      </c>
      <c r="B17" s="4" t="s">
        <v>827</v>
      </c>
      <c r="C17" s="4" t="s">
        <v>840</v>
      </c>
      <c r="D17" t="str">
        <f t="shared" si="0"/>
        <v>FRANCISCO MORAZAN, ORICA, Honduras</v>
      </c>
    </row>
    <row r="18" spans="1:4" x14ac:dyDescent="0.3">
      <c r="A18" s="4" t="s">
        <v>42</v>
      </c>
      <c r="B18" s="4" t="s">
        <v>827</v>
      </c>
      <c r="C18" s="4" t="s">
        <v>841</v>
      </c>
      <c r="D18" t="str">
        <f t="shared" si="0"/>
        <v>FRANCISCO MORAZAN, REITOCA, Honduras</v>
      </c>
    </row>
    <row r="19" spans="1:4" x14ac:dyDescent="0.3">
      <c r="A19" s="4" t="s">
        <v>42</v>
      </c>
      <c r="B19" s="4" t="s">
        <v>830</v>
      </c>
      <c r="C19" s="4" t="s">
        <v>842</v>
      </c>
      <c r="D19" t="str">
        <f t="shared" si="0"/>
        <v>COMAYAGUA, LAS LAJAS, Honduras</v>
      </c>
    </row>
    <row r="20" spans="1:4" x14ac:dyDescent="0.3">
      <c r="A20" s="4" t="s">
        <v>42</v>
      </c>
      <c r="B20" s="4" t="s">
        <v>830</v>
      </c>
      <c r="C20" s="4" t="s">
        <v>843</v>
      </c>
      <c r="D20" t="str">
        <f t="shared" si="0"/>
        <v>COMAYAGUA, LEJAMANI, Honduras</v>
      </c>
    </row>
    <row r="21" spans="1:4" x14ac:dyDescent="0.3">
      <c r="A21" s="4" t="s">
        <v>42</v>
      </c>
      <c r="B21" s="4" t="s">
        <v>830</v>
      </c>
      <c r="C21" s="4" t="s">
        <v>844</v>
      </c>
      <c r="D21" t="str">
        <f t="shared" si="0"/>
        <v>COMAYAGUA, MEAMBAR, Honduras</v>
      </c>
    </row>
    <row r="22" spans="1:4" x14ac:dyDescent="0.3">
      <c r="A22" s="4" t="s">
        <v>42</v>
      </c>
      <c r="B22" s="4" t="s">
        <v>830</v>
      </c>
      <c r="C22" s="4" t="s">
        <v>845</v>
      </c>
      <c r="D22" t="str">
        <f t="shared" si="0"/>
        <v>COMAYAGUA, MINAS DE ORO, Honduras</v>
      </c>
    </row>
    <row r="23" spans="1:4" x14ac:dyDescent="0.3">
      <c r="A23" s="4" t="s">
        <v>42</v>
      </c>
      <c r="B23" s="4" t="s">
        <v>830</v>
      </c>
      <c r="C23" s="4" t="s">
        <v>644</v>
      </c>
      <c r="D23" t="str">
        <f t="shared" si="0"/>
        <v>COMAYAGUA, OJOS DE AGUA, Honduras</v>
      </c>
    </row>
    <row r="24" spans="1:4" x14ac:dyDescent="0.3">
      <c r="A24" s="4" t="s">
        <v>42</v>
      </c>
      <c r="B24" s="4" t="s">
        <v>830</v>
      </c>
      <c r="C24" s="4" t="s">
        <v>846</v>
      </c>
      <c r="D24" t="str">
        <f t="shared" si="0"/>
        <v>COMAYAGUA, SAN JERONIMO, Honduras</v>
      </c>
    </row>
    <row r="25" spans="1:4" x14ac:dyDescent="0.3">
      <c r="A25" s="4" t="s">
        <v>42</v>
      </c>
      <c r="B25" s="4" t="s">
        <v>830</v>
      </c>
      <c r="C25" s="4" t="s">
        <v>847</v>
      </c>
      <c r="D25" t="str">
        <f t="shared" si="0"/>
        <v>COMAYAGUA, SAN JOSE DE COMAYAGUA, Honduras</v>
      </c>
    </row>
    <row r="26" spans="1:4" x14ac:dyDescent="0.3">
      <c r="A26" s="4" t="s">
        <v>42</v>
      </c>
      <c r="B26" s="4" t="s">
        <v>827</v>
      </c>
      <c r="C26" s="4" t="s">
        <v>848</v>
      </c>
      <c r="D26" t="str">
        <f t="shared" si="0"/>
        <v>FRANCISCO MORAZAN, SABANAGRANDE, Honduras</v>
      </c>
    </row>
    <row r="27" spans="1:4" x14ac:dyDescent="0.3">
      <c r="A27" s="4" t="s">
        <v>42</v>
      </c>
      <c r="B27" s="4" t="s">
        <v>830</v>
      </c>
      <c r="C27" s="4" t="s">
        <v>849</v>
      </c>
      <c r="D27" t="str">
        <f t="shared" si="0"/>
        <v>COMAYAGUA, SAN JOSE DEL POTRERO, Honduras</v>
      </c>
    </row>
    <row r="28" spans="1:4" x14ac:dyDescent="0.3">
      <c r="A28" s="4" t="s">
        <v>42</v>
      </c>
      <c r="B28" s="4" t="s">
        <v>830</v>
      </c>
      <c r="C28" s="4" t="s">
        <v>850</v>
      </c>
      <c r="D28" t="str">
        <f t="shared" si="0"/>
        <v>COMAYAGUA, SAN LUIS, Honduras</v>
      </c>
    </row>
    <row r="29" spans="1:4" x14ac:dyDescent="0.3">
      <c r="A29" s="4" t="s">
        <v>42</v>
      </c>
      <c r="B29" s="4" t="s">
        <v>830</v>
      </c>
      <c r="C29" s="4" t="s">
        <v>611</v>
      </c>
      <c r="D29" t="str">
        <f t="shared" si="0"/>
        <v>COMAYAGUA, SAN SEBASTIAN, Honduras</v>
      </c>
    </row>
    <row r="30" spans="1:4" x14ac:dyDescent="0.3">
      <c r="A30" s="4" t="s">
        <v>42</v>
      </c>
      <c r="B30" s="4" t="s">
        <v>827</v>
      </c>
      <c r="C30" s="4" t="s">
        <v>851</v>
      </c>
      <c r="D30" t="str">
        <f t="shared" si="0"/>
        <v>FRANCISCO MORAZAN, SAN ANTONIO DE ORIENTE, Honduras</v>
      </c>
    </row>
    <row r="31" spans="1:4" x14ac:dyDescent="0.3">
      <c r="A31" s="4" t="s">
        <v>42</v>
      </c>
      <c r="B31" s="4" t="s">
        <v>830</v>
      </c>
      <c r="C31" s="4" t="s">
        <v>852</v>
      </c>
      <c r="D31" t="str">
        <f t="shared" si="0"/>
        <v>COMAYAGUA, SIGUATEPEQUE, Honduras</v>
      </c>
    </row>
    <row r="32" spans="1:4" x14ac:dyDescent="0.3">
      <c r="A32" s="4" t="s">
        <v>42</v>
      </c>
      <c r="B32" s="4" t="s">
        <v>827</v>
      </c>
      <c r="C32" s="4" t="s">
        <v>853</v>
      </c>
      <c r="D32" t="str">
        <f t="shared" si="0"/>
        <v>FRANCISCO MORAZAN, SAN JUAN DE FLORES, Honduras</v>
      </c>
    </row>
    <row r="33" spans="1:4" x14ac:dyDescent="0.3">
      <c r="A33" s="4" t="s">
        <v>42</v>
      </c>
      <c r="B33" s="4" t="s">
        <v>830</v>
      </c>
      <c r="C33" s="4" t="s">
        <v>854</v>
      </c>
      <c r="D33" t="str">
        <f t="shared" si="0"/>
        <v>COMAYAGUA, TAULABE, Honduras</v>
      </c>
    </row>
    <row r="34" spans="1:4" x14ac:dyDescent="0.3">
      <c r="A34" s="4" t="s">
        <v>42</v>
      </c>
      <c r="B34" s="4" t="s">
        <v>830</v>
      </c>
      <c r="C34" s="4" t="s">
        <v>855</v>
      </c>
      <c r="D34" t="str">
        <f t="shared" ref="D34:D65" si="1">B34&amp;", "&amp;C34&amp;", Honduras"</f>
        <v>COMAYAGUA, VILLA DE SAN ANTONIO, Honduras</v>
      </c>
    </row>
    <row r="35" spans="1:4" x14ac:dyDescent="0.3">
      <c r="A35" s="4" t="s">
        <v>42</v>
      </c>
      <c r="B35" s="4" t="s">
        <v>827</v>
      </c>
      <c r="C35" s="4" t="s">
        <v>486</v>
      </c>
      <c r="D35" t="str">
        <f t="shared" si="1"/>
        <v>FRANCISCO MORAZAN, SANTA ANA, Honduras</v>
      </c>
    </row>
    <row r="36" spans="1:4" x14ac:dyDescent="0.3">
      <c r="A36" s="4" t="s">
        <v>42</v>
      </c>
      <c r="B36" s="4" t="s">
        <v>827</v>
      </c>
      <c r="C36" s="4" t="s">
        <v>856</v>
      </c>
      <c r="D36" t="str">
        <f t="shared" si="1"/>
        <v>FRANCISCO MORAZAN, SANTA LUCIA, Honduras</v>
      </c>
    </row>
    <row r="37" spans="1:4" x14ac:dyDescent="0.3">
      <c r="A37" s="4" t="s">
        <v>42</v>
      </c>
      <c r="B37" s="4" t="s">
        <v>827</v>
      </c>
      <c r="C37" s="4" t="s">
        <v>857</v>
      </c>
      <c r="D37" t="str">
        <f t="shared" si="1"/>
        <v>FRANCISCO MORAZAN, TALANGA, Honduras</v>
      </c>
    </row>
    <row r="38" spans="1:4" x14ac:dyDescent="0.3">
      <c r="A38" s="4" t="s">
        <v>42</v>
      </c>
      <c r="B38" s="4" t="s">
        <v>827</v>
      </c>
      <c r="C38" s="4" t="s">
        <v>858</v>
      </c>
      <c r="D38" t="str">
        <f t="shared" si="1"/>
        <v>FRANCISCO MORAZAN, VALLE DE ANGELES, Honduras</v>
      </c>
    </row>
    <row r="39" spans="1:4" x14ac:dyDescent="0.3">
      <c r="A39" s="4" t="s">
        <v>859</v>
      </c>
      <c r="B39" s="4" t="s">
        <v>566</v>
      </c>
      <c r="C39" s="4" t="s">
        <v>860</v>
      </c>
      <c r="D39" t="str">
        <f t="shared" si="1"/>
        <v>LA PAZ, AGUANQUETERIQUE, Honduras</v>
      </c>
    </row>
    <row r="40" spans="1:4" x14ac:dyDescent="0.3">
      <c r="A40" s="4" t="s">
        <v>859</v>
      </c>
      <c r="B40" s="4" t="s">
        <v>861</v>
      </c>
      <c r="C40" s="4" t="s">
        <v>862</v>
      </c>
      <c r="D40" t="str">
        <f t="shared" si="1"/>
        <v>SANTA BARBARA, ARADA, Honduras</v>
      </c>
    </row>
    <row r="41" spans="1:4" x14ac:dyDescent="0.3">
      <c r="A41" s="4" t="s">
        <v>859</v>
      </c>
      <c r="B41" s="4" t="s">
        <v>863</v>
      </c>
      <c r="C41" s="4" t="s">
        <v>864</v>
      </c>
      <c r="D41" t="str">
        <f t="shared" si="1"/>
        <v>YORO, ARENAL, Honduras</v>
      </c>
    </row>
    <row r="42" spans="1:4" x14ac:dyDescent="0.3">
      <c r="A42" s="4" t="s">
        <v>859</v>
      </c>
      <c r="B42" s="4" t="s">
        <v>861</v>
      </c>
      <c r="C42" s="4" t="s">
        <v>865</v>
      </c>
      <c r="D42" t="str">
        <f t="shared" si="1"/>
        <v>SANTA BARBARA, ATIMA, Honduras</v>
      </c>
    </row>
    <row r="43" spans="1:4" x14ac:dyDescent="0.3">
      <c r="A43" s="4" t="s">
        <v>859</v>
      </c>
      <c r="B43" s="4" t="s">
        <v>861</v>
      </c>
      <c r="C43" s="4" t="s">
        <v>628</v>
      </c>
      <c r="D43" t="str">
        <f t="shared" si="1"/>
        <v>SANTA BARBARA, AZACUALPA, Honduras</v>
      </c>
    </row>
    <row r="44" spans="1:4" x14ac:dyDescent="0.3">
      <c r="A44" s="4" t="s">
        <v>859</v>
      </c>
      <c r="B44" s="4" t="s">
        <v>866</v>
      </c>
      <c r="C44" s="4" t="s">
        <v>867</v>
      </c>
      <c r="D44" t="str">
        <f t="shared" si="1"/>
        <v>LEMPIRA, BELEN, Honduras</v>
      </c>
    </row>
    <row r="45" spans="1:4" x14ac:dyDescent="0.3">
      <c r="A45" s="4" t="s">
        <v>859</v>
      </c>
      <c r="B45" s="4" t="s">
        <v>868</v>
      </c>
      <c r="C45" s="4" t="s">
        <v>869</v>
      </c>
      <c r="D45" t="str">
        <f t="shared" si="1"/>
        <v>OCOTEPEQUE, BELEN GUALCHO, Honduras</v>
      </c>
    </row>
    <row r="46" spans="1:4" x14ac:dyDescent="0.3">
      <c r="A46" s="4" t="s">
        <v>859</v>
      </c>
      <c r="B46" s="4" t="s">
        <v>870</v>
      </c>
      <c r="C46" s="4" t="s">
        <v>615</v>
      </c>
      <c r="D46" t="str">
        <f t="shared" si="1"/>
        <v>COPAN, CABAÑAS, Honduras</v>
      </c>
    </row>
    <row r="47" spans="1:4" x14ac:dyDescent="0.3">
      <c r="A47" s="4" t="s">
        <v>859</v>
      </c>
      <c r="B47" s="4" t="s">
        <v>566</v>
      </c>
      <c r="C47" s="4" t="s">
        <v>615</v>
      </c>
      <c r="D47" t="str">
        <f t="shared" si="1"/>
        <v>LA PAZ, CABAÑAS, Honduras</v>
      </c>
    </row>
    <row r="48" spans="1:4" x14ac:dyDescent="0.3">
      <c r="A48" s="4" t="s">
        <v>859</v>
      </c>
      <c r="B48" s="4" t="s">
        <v>871</v>
      </c>
      <c r="C48" s="4" t="s">
        <v>872</v>
      </c>
      <c r="D48" t="str">
        <f t="shared" si="1"/>
        <v>INTIBUCA, CAMASCA, Honduras</v>
      </c>
    </row>
    <row r="49" spans="1:4" x14ac:dyDescent="0.3">
      <c r="A49" s="4" t="s">
        <v>859</v>
      </c>
      <c r="B49" s="4" t="s">
        <v>866</v>
      </c>
      <c r="C49" s="4" t="s">
        <v>536</v>
      </c>
      <c r="D49" t="str">
        <f t="shared" si="1"/>
        <v>LEMPIRA, CANDELARIA, Honduras</v>
      </c>
    </row>
    <row r="50" spans="1:4" x14ac:dyDescent="0.3">
      <c r="A50" s="4" t="s">
        <v>859</v>
      </c>
      <c r="B50" s="4" t="s">
        <v>566</v>
      </c>
      <c r="C50" s="4" t="s">
        <v>873</v>
      </c>
      <c r="D50" t="str">
        <f t="shared" si="1"/>
        <v>LA PAZ, CANE, Honduras</v>
      </c>
    </row>
    <row r="51" spans="1:4" x14ac:dyDescent="0.3">
      <c r="A51" s="4" t="s">
        <v>859</v>
      </c>
      <c r="B51" s="4" t="s">
        <v>861</v>
      </c>
      <c r="C51" s="4" t="s">
        <v>874</v>
      </c>
      <c r="D51" t="str">
        <f t="shared" si="1"/>
        <v>SANTA BARBARA, CEGUACA, Honduras</v>
      </c>
    </row>
    <row r="52" spans="1:4" x14ac:dyDescent="0.3">
      <c r="A52" s="4" t="s">
        <v>859</v>
      </c>
      <c r="B52" s="4" t="s">
        <v>566</v>
      </c>
      <c r="C52" s="4" t="s">
        <v>875</v>
      </c>
      <c r="D52" t="str">
        <f t="shared" si="1"/>
        <v>LA PAZ, CHINACLA, Honduras</v>
      </c>
    </row>
    <row r="53" spans="1:4" x14ac:dyDescent="0.3">
      <c r="A53" s="4" t="s">
        <v>859</v>
      </c>
      <c r="B53" s="4" t="s">
        <v>861</v>
      </c>
      <c r="C53" s="4" t="s">
        <v>876</v>
      </c>
      <c r="D53" t="str">
        <f t="shared" si="1"/>
        <v>SANTA BARBARA, CHINDA, Honduras</v>
      </c>
    </row>
    <row r="54" spans="1:4" x14ac:dyDescent="0.3">
      <c r="A54" s="4" t="s">
        <v>859</v>
      </c>
      <c r="B54" s="4" t="s">
        <v>877</v>
      </c>
      <c r="C54" s="4" t="s">
        <v>878</v>
      </c>
      <c r="D54" t="str">
        <f t="shared" si="1"/>
        <v>CORTES, CHOLOMA, Honduras</v>
      </c>
    </row>
    <row r="55" spans="1:4" x14ac:dyDescent="0.3">
      <c r="A55" s="4" t="s">
        <v>859</v>
      </c>
      <c r="B55" s="4" t="s">
        <v>866</v>
      </c>
      <c r="C55" s="4" t="s">
        <v>879</v>
      </c>
      <c r="D55" t="str">
        <f t="shared" si="1"/>
        <v>LEMPIRA, COLOLACA, Honduras</v>
      </c>
    </row>
    <row r="56" spans="1:4" x14ac:dyDescent="0.3">
      <c r="A56" s="4" t="s">
        <v>859</v>
      </c>
      <c r="B56" s="4" t="s">
        <v>871</v>
      </c>
      <c r="C56" s="4" t="s">
        <v>880</v>
      </c>
      <c r="D56" t="str">
        <f t="shared" si="1"/>
        <v>INTIBUCA, COLOMONCAGUA, Honduras</v>
      </c>
    </row>
    <row r="57" spans="1:4" x14ac:dyDescent="0.3">
      <c r="A57" s="4" t="s">
        <v>859</v>
      </c>
      <c r="B57" s="4" t="s">
        <v>870</v>
      </c>
      <c r="C57" s="4" t="s">
        <v>881</v>
      </c>
      <c r="D57" t="str">
        <f t="shared" si="1"/>
        <v>COPAN, CONCEPCION, Honduras</v>
      </c>
    </row>
    <row r="58" spans="1:4" x14ac:dyDescent="0.3">
      <c r="A58" s="4" t="s">
        <v>859</v>
      </c>
      <c r="B58" s="4" t="s">
        <v>868</v>
      </c>
      <c r="C58" s="4" t="s">
        <v>881</v>
      </c>
      <c r="D58" t="str">
        <f t="shared" si="1"/>
        <v>OCOTEPEQUE, CONCEPCION, Honduras</v>
      </c>
    </row>
    <row r="59" spans="1:4" x14ac:dyDescent="0.3">
      <c r="A59" s="4" t="s">
        <v>859</v>
      </c>
      <c r="B59" s="4" t="s">
        <v>871</v>
      </c>
      <c r="C59" s="4" t="s">
        <v>881</v>
      </c>
      <c r="D59" t="str">
        <f t="shared" si="1"/>
        <v>INTIBUCA, CONCEPCION, Honduras</v>
      </c>
    </row>
    <row r="60" spans="1:4" x14ac:dyDescent="0.3">
      <c r="A60" s="4" t="s">
        <v>859</v>
      </c>
      <c r="B60" s="4" t="s">
        <v>861</v>
      </c>
      <c r="C60" s="4" t="s">
        <v>882</v>
      </c>
      <c r="D60" t="str">
        <f t="shared" si="1"/>
        <v>SANTA BARBARA, CONCEPCION DEL NORTE, Honduras</v>
      </c>
    </row>
    <row r="61" spans="1:4" x14ac:dyDescent="0.3">
      <c r="A61" s="4" t="s">
        <v>859</v>
      </c>
      <c r="B61" s="4" t="s">
        <v>861</v>
      </c>
      <c r="C61" s="4" t="s">
        <v>883</v>
      </c>
      <c r="D61" t="str">
        <f t="shared" si="1"/>
        <v>SANTA BARBARA, CONCEPCION DEL SUR, Honduras</v>
      </c>
    </row>
    <row r="62" spans="1:4" x14ac:dyDescent="0.3">
      <c r="A62" s="4" t="s">
        <v>859</v>
      </c>
      <c r="B62" s="4" t="s">
        <v>870</v>
      </c>
      <c r="C62" s="4" t="s">
        <v>884</v>
      </c>
      <c r="D62" t="str">
        <f t="shared" si="1"/>
        <v>COPAN, COPAN RUINAS, Honduras</v>
      </c>
    </row>
    <row r="63" spans="1:4" x14ac:dyDescent="0.3">
      <c r="A63" s="4" t="s">
        <v>859</v>
      </c>
      <c r="B63" s="4" t="s">
        <v>870</v>
      </c>
      <c r="C63" s="4" t="s">
        <v>885</v>
      </c>
      <c r="D63" t="str">
        <f t="shared" si="1"/>
        <v>COPAN, CORQUIN, Honduras</v>
      </c>
    </row>
    <row r="64" spans="1:4" x14ac:dyDescent="0.3">
      <c r="A64" s="4" t="s">
        <v>859</v>
      </c>
      <c r="B64" s="4" t="s">
        <v>870</v>
      </c>
      <c r="C64" s="4" t="s">
        <v>886</v>
      </c>
      <c r="D64" t="str">
        <f t="shared" si="1"/>
        <v>COPAN, CUCUYAGUA, Honduras</v>
      </c>
    </row>
    <row r="65" spans="1:4" x14ac:dyDescent="0.3">
      <c r="A65" s="4" t="s">
        <v>859</v>
      </c>
      <c r="B65" s="4" t="s">
        <v>870</v>
      </c>
      <c r="C65" s="4" t="s">
        <v>617</v>
      </c>
      <c r="D65" t="str">
        <f t="shared" si="1"/>
        <v>COPAN, DOLORES, Honduras</v>
      </c>
    </row>
    <row r="66" spans="1:4" x14ac:dyDescent="0.3">
      <c r="A66" s="4" t="s">
        <v>859</v>
      </c>
      <c r="B66" s="4" t="s">
        <v>871</v>
      </c>
      <c r="C66" s="4" t="s">
        <v>617</v>
      </c>
      <c r="D66" t="str">
        <f t="shared" ref="D66:D97" si="2">B66&amp;", "&amp;C66&amp;", Honduras"</f>
        <v>INTIBUCA, DOLORES, Honduras</v>
      </c>
    </row>
    <row r="67" spans="1:4" x14ac:dyDescent="0.3">
      <c r="A67" s="4" t="s">
        <v>859</v>
      </c>
      <c r="B67" s="4" t="s">
        <v>868</v>
      </c>
      <c r="C67" s="4" t="s">
        <v>887</v>
      </c>
      <c r="D67" t="str">
        <f t="shared" si="2"/>
        <v>OCOTEPEQUE, DOLORES MERENDON, Honduras</v>
      </c>
    </row>
    <row r="68" spans="1:4" x14ac:dyDescent="0.3">
      <c r="A68" s="4" t="s">
        <v>859</v>
      </c>
      <c r="B68" s="4" t="s">
        <v>870</v>
      </c>
      <c r="C68" s="4" t="s">
        <v>888</v>
      </c>
      <c r="D68" t="str">
        <f t="shared" si="2"/>
        <v>COPAN, DULCE NOMBRE, Honduras</v>
      </c>
    </row>
    <row r="69" spans="1:4" x14ac:dyDescent="0.3">
      <c r="A69" s="4" t="s">
        <v>859</v>
      </c>
      <c r="B69" s="4" t="s">
        <v>863</v>
      </c>
      <c r="C69" s="4" t="s">
        <v>889</v>
      </c>
      <c r="D69" t="str">
        <f t="shared" si="2"/>
        <v>YORO, EL NEGRITO, Honduras</v>
      </c>
    </row>
    <row r="70" spans="1:4" x14ac:dyDescent="0.3">
      <c r="A70" s="4" t="s">
        <v>859</v>
      </c>
      <c r="B70" s="4" t="s">
        <v>861</v>
      </c>
      <c r="C70" s="4" t="s">
        <v>890</v>
      </c>
      <c r="D70" t="str">
        <f t="shared" si="2"/>
        <v>SANTA BARBARA, EL NISPERO, Honduras</v>
      </c>
    </row>
    <row r="71" spans="1:4" x14ac:dyDescent="0.3">
      <c r="A71" s="4" t="s">
        <v>859</v>
      </c>
      <c r="B71" s="4" t="s">
        <v>870</v>
      </c>
      <c r="C71" s="4" t="s">
        <v>635</v>
      </c>
      <c r="D71" t="str">
        <f t="shared" si="2"/>
        <v>COPAN, EL PARAISO, Honduras</v>
      </c>
    </row>
    <row r="72" spans="1:4" x14ac:dyDescent="0.3">
      <c r="A72" s="4" t="s">
        <v>859</v>
      </c>
      <c r="B72" s="4" t="s">
        <v>863</v>
      </c>
      <c r="C72" s="4" t="s">
        <v>891</v>
      </c>
      <c r="D72" t="str">
        <f t="shared" si="2"/>
        <v>YORO, EL PROGRESO, Honduras</v>
      </c>
    </row>
    <row r="73" spans="1:4" x14ac:dyDescent="0.3">
      <c r="A73" s="4" t="s">
        <v>859</v>
      </c>
      <c r="B73" s="4" t="s">
        <v>866</v>
      </c>
      <c r="C73" s="4" t="s">
        <v>892</v>
      </c>
      <c r="D73" t="str">
        <f t="shared" si="2"/>
        <v>LEMPIRA, ERANDIQUE, Honduras</v>
      </c>
    </row>
    <row r="74" spans="1:4" x14ac:dyDescent="0.3">
      <c r="A74" s="4" t="s">
        <v>859</v>
      </c>
      <c r="B74" s="4" t="s">
        <v>870</v>
      </c>
      <c r="C74" s="4" t="s">
        <v>893</v>
      </c>
      <c r="D74" t="str">
        <f t="shared" si="2"/>
        <v>COPAN, FLORIDA, Honduras</v>
      </c>
    </row>
    <row r="75" spans="1:4" x14ac:dyDescent="0.3">
      <c r="A75" s="4" t="s">
        <v>859</v>
      </c>
      <c r="B75" s="4" t="s">
        <v>868</v>
      </c>
      <c r="C75" s="4" t="s">
        <v>894</v>
      </c>
      <c r="D75" t="str">
        <f t="shared" si="2"/>
        <v>OCOTEPEQUE, FRATERNIDAD, Honduras</v>
      </c>
    </row>
    <row r="76" spans="1:4" x14ac:dyDescent="0.3">
      <c r="A76" s="4" t="s">
        <v>859</v>
      </c>
      <c r="B76" s="4" t="s">
        <v>866</v>
      </c>
      <c r="C76" s="4" t="s">
        <v>895</v>
      </c>
      <c r="D76" t="str">
        <f t="shared" si="2"/>
        <v>LEMPIRA, GRACIAS, Honduras</v>
      </c>
    </row>
    <row r="77" spans="1:4" x14ac:dyDescent="0.3">
      <c r="A77" s="4" t="s">
        <v>859</v>
      </c>
      <c r="B77" s="4" t="s">
        <v>566</v>
      </c>
      <c r="C77" s="4" t="s">
        <v>896</v>
      </c>
      <c r="D77" t="str">
        <f t="shared" si="2"/>
        <v>LA PAZ, GUAJIQUIRO, Honduras</v>
      </c>
    </row>
    <row r="78" spans="1:4" x14ac:dyDescent="0.3">
      <c r="A78" s="4" t="s">
        <v>859</v>
      </c>
      <c r="B78" s="4" t="s">
        <v>861</v>
      </c>
      <c r="C78" s="4" t="s">
        <v>897</v>
      </c>
      <c r="D78" t="str">
        <f t="shared" si="2"/>
        <v>SANTA BARBARA, GUALALA, Honduras</v>
      </c>
    </row>
    <row r="79" spans="1:4" x14ac:dyDescent="0.3">
      <c r="A79" s="4" t="s">
        <v>859</v>
      </c>
      <c r="B79" s="4" t="s">
        <v>866</v>
      </c>
      <c r="C79" s="4" t="s">
        <v>898</v>
      </c>
      <c r="D79" t="str">
        <f t="shared" si="2"/>
        <v>LEMPIRA, GUALCINCE, Honduras</v>
      </c>
    </row>
    <row r="80" spans="1:4" x14ac:dyDescent="0.3">
      <c r="A80" s="4" t="s">
        <v>859</v>
      </c>
      <c r="B80" s="4" t="s">
        <v>899</v>
      </c>
      <c r="C80" s="4" t="s">
        <v>900</v>
      </c>
      <c r="D80" t="str">
        <f t="shared" si="2"/>
        <v>ISLAS DE LA BAHIA, GUANAJA, Honduras</v>
      </c>
    </row>
    <row r="81" spans="1:4" x14ac:dyDescent="0.3">
      <c r="A81" s="4" t="s">
        <v>859</v>
      </c>
      <c r="B81" s="4" t="s">
        <v>866</v>
      </c>
      <c r="C81" s="4" t="s">
        <v>901</v>
      </c>
      <c r="D81" t="str">
        <f t="shared" si="2"/>
        <v>LEMPIRA, GUARITA, Honduras</v>
      </c>
    </row>
    <row r="82" spans="1:4" x14ac:dyDescent="0.3">
      <c r="A82" s="4" t="s">
        <v>859</v>
      </c>
      <c r="B82" s="4" t="s">
        <v>861</v>
      </c>
      <c r="C82" s="4" t="s">
        <v>902</v>
      </c>
      <c r="D82" t="str">
        <f t="shared" si="2"/>
        <v>SANTA BARBARA, ILAMA, Honduras</v>
      </c>
    </row>
    <row r="83" spans="1:4" x14ac:dyDescent="0.3">
      <c r="A83" s="4" t="s">
        <v>859</v>
      </c>
      <c r="B83" s="4" t="s">
        <v>871</v>
      </c>
      <c r="C83" s="4" t="s">
        <v>871</v>
      </c>
      <c r="D83" t="str">
        <f t="shared" si="2"/>
        <v>INTIBUCA, INTIBUCA, Honduras</v>
      </c>
    </row>
    <row r="84" spans="1:4" x14ac:dyDescent="0.3">
      <c r="A84" s="4" t="s">
        <v>859</v>
      </c>
      <c r="B84" s="4" t="s">
        <v>871</v>
      </c>
      <c r="C84" s="4" t="s">
        <v>903</v>
      </c>
      <c r="D84" t="str">
        <f t="shared" si="2"/>
        <v>INTIBUCA, JESUS DE OTORO, Honduras</v>
      </c>
    </row>
    <row r="85" spans="1:4" x14ac:dyDescent="0.3">
      <c r="A85" s="4" t="s">
        <v>859</v>
      </c>
      <c r="B85" s="4" t="s">
        <v>863</v>
      </c>
      <c r="C85" s="4" t="s">
        <v>904</v>
      </c>
      <c r="D85" t="str">
        <f t="shared" si="2"/>
        <v>YORO, JOCON, Honduras</v>
      </c>
    </row>
    <row r="86" spans="1:4" x14ac:dyDescent="0.3">
      <c r="A86" s="4" t="s">
        <v>859</v>
      </c>
      <c r="B86" s="4" t="s">
        <v>899</v>
      </c>
      <c r="C86" s="4" t="s">
        <v>905</v>
      </c>
      <c r="D86" t="str">
        <f t="shared" si="2"/>
        <v>ISLAS DE LA BAHIA, JOSE SANTOS GUARDIOLA, Honduras</v>
      </c>
    </row>
    <row r="87" spans="1:4" x14ac:dyDescent="0.3">
      <c r="A87" s="4" t="s">
        <v>859</v>
      </c>
      <c r="B87" s="4" t="s">
        <v>866</v>
      </c>
      <c r="C87" s="4" t="s">
        <v>906</v>
      </c>
      <c r="D87" t="str">
        <f t="shared" si="2"/>
        <v>LEMPIRA, LA CAMPA, Honduras</v>
      </c>
    </row>
    <row r="88" spans="1:4" x14ac:dyDescent="0.3">
      <c r="A88" s="4" t="s">
        <v>859</v>
      </c>
      <c r="B88" s="4" t="s">
        <v>868</v>
      </c>
      <c r="C88" s="4" t="s">
        <v>907</v>
      </c>
      <c r="D88" t="str">
        <f t="shared" si="2"/>
        <v>OCOTEPEQUE, LA ENCARNACION, Honduras</v>
      </c>
    </row>
    <row r="89" spans="1:4" x14ac:dyDescent="0.3">
      <c r="A89" s="4" t="s">
        <v>859</v>
      </c>
      <c r="B89" s="4" t="s">
        <v>871</v>
      </c>
      <c r="C89" s="4" t="s">
        <v>908</v>
      </c>
      <c r="D89" t="str">
        <f t="shared" si="2"/>
        <v>INTIBUCA, LA ESPERANZA, Honduras</v>
      </c>
    </row>
    <row r="90" spans="1:4" x14ac:dyDescent="0.3">
      <c r="A90" s="4" t="s">
        <v>859</v>
      </c>
      <c r="B90" s="4" t="s">
        <v>866</v>
      </c>
      <c r="C90" s="4" t="s">
        <v>909</v>
      </c>
      <c r="D90" t="str">
        <f t="shared" si="2"/>
        <v>LEMPIRA, LA IGUALA, Honduras</v>
      </c>
    </row>
    <row r="91" spans="1:4" x14ac:dyDescent="0.3">
      <c r="A91" s="4" t="s">
        <v>859</v>
      </c>
      <c r="B91" s="4" t="s">
        <v>870</v>
      </c>
      <c r="C91" s="4" t="s">
        <v>910</v>
      </c>
      <c r="D91" t="str">
        <f t="shared" si="2"/>
        <v>COPAN, LA JIGUA, Honduras</v>
      </c>
    </row>
    <row r="92" spans="1:4" x14ac:dyDescent="0.3">
      <c r="A92" s="4" t="s">
        <v>859</v>
      </c>
      <c r="B92" s="4" t="s">
        <v>868</v>
      </c>
      <c r="C92" s="4" t="s">
        <v>911</v>
      </c>
      <c r="D92" t="str">
        <f t="shared" si="2"/>
        <v>OCOTEPEQUE, LA LABOR, Honduras</v>
      </c>
    </row>
    <row r="93" spans="1:4" x14ac:dyDescent="0.3">
      <c r="A93" s="4" t="s">
        <v>859</v>
      </c>
      <c r="B93" s="4" t="s">
        <v>877</v>
      </c>
      <c r="C93" s="4" t="s">
        <v>912</v>
      </c>
      <c r="D93" t="str">
        <f t="shared" si="2"/>
        <v>CORTES, LA LIMA, Honduras</v>
      </c>
    </row>
    <row r="94" spans="1:4" x14ac:dyDescent="0.3">
      <c r="A94" s="4" t="s">
        <v>859</v>
      </c>
      <c r="B94" s="4" t="s">
        <v>566</v>
      </c>
      <c r="C94" s="4" t="s">
        <v>566</v>
      </c>
      <c r="D94" t="str">
        <f t="shared" si="2"/>
        <v>LA PAZ, LA PAZ, Honduras</v>
      </c>
    </row>
    <row r="95" spans="1:4" x14ac:dyDescent="0.3">
      <c r="A95" s="4" t="s">
        <v>859</v>
      </c>
      <c r="B95" s="4" t="s">
        <v>866</v>
      </c>
      <c r="C95" s="4" t="s">
        <v>658</v>
      </c>
      <c r="D95" t="str">
        <f t="shared" si="2"/>
        <v>LEMPIRA, LA UNION, Honduras</v>
      </c>
    </row>
    <row r="96" spans="1:4" x14ac:dyDescent="0.3">
      <c r="A96" s="4" t="s">
        <v>859</v>
      </c>
      <c r="B96" s="4" t="s">
        <v>870</v>
      </c>
      <c r="C96" s="4" t="s">
        <v>658</v>
      </c>
      <c r="D96" t="str">
        <f t="shared" si="2"/>
        <v>COPAN, LA UNION, Honduras</v>
      </c>
    </row>
    <row r="97" spans="1:4" x14ac:dyDescent="0.3">
      <c r="A97" s="4" t="s">
        <v>859</v>
      </c>
      <c r="B97" s="4" t="s">
        <v>866</v>
      </c>
      <c r="C97" s="4" t="s">
        <v>913</v>
      </c>
      <c r="D97" t="str">
        <f t="shared" si="2"/>
        <v>LEMPIRA, LA VIRTUD, Honduras</v>
      </c>
    </row>
    <row r="98" spans="1:4" x14ac:dyDescent="0.3">
      <c r="A98" s="4" t="s">
        <v>859</v>
      </c>
      <c r="B98" s="4" t="s">
        <v>866</v>
      </c>
      <c r="C98" s="4" t="s">
        <v>639</v>
      </c>
      <c r="D98" t="str">
        <f t="shared" ref="D98:D129" si="3">B98&amp;", "&amp;C98&amp;", Honduras"</f>
        <v>LEMPIRA, LAS FLORES, Honduras</v>
      </c>
    </row>
    <row r="99" spans="1:4" x14ac:dyDescent="0.3">
      <c r="A99" s="4" t="s">
        <v>859</v>
      </c>
      <c r="B99" s="4" t="s">
        <v>861</v>
      </c>
      <c r="C99" s="4" t="s">
        <v>914</v>
      </c>
      <c r="D99" t="str">
        <f t="shared" si="3"/>
        <v>SANTA BARBARA, LAS VEGAS, Honduras</v>
      </c>
    </row>
    <row r="100" spans="1:4" x14ac:dyDescent="0.3">
      <c r="A100" s="4" t="s">
        <v>859</v>
      </c>
      <c r="B100" s="4" t="s">
        <v>566</v>
      </c>
      <c r="C100" s="4" t="s">
        <v>915</v>
      </c>
      <c r="D100" t="str">
        <f t="shared" si="3"/>
        <v>LA PAZ, LAUTERIQUE, Honduras</v>
      </c>
    </row>
    <row r="101" spans="1:4" x14ac:dyDescent="0.3">
      <c r="A101" s="4" t="s">
        <v>859</v>
      </c>
      <c r="B101" s="4" t="s">
        <v>866</v>
      </c>
      <c r="C101" s="4" t="s">
        <v>916</v>
      </c>
      <c r="D101" t="str">
        <f t="shared" si="3"/>
        <v>LEMPIRA, LEPAERA, Honduras</v>
      </c>
    </row>
    <row r="102" spans="1:4" x14ac:dyDescent="0.3">
      <c r="A102" s="4" t="s">
        <v>859</v>
      </c>
      <c r="B102" s="4" t="s">
        <v>868</v>
      </c>
      <c r="C102" s="4" t="s">
        <v>917</v>
      </c>
      <c r="D102" t="str">
        <f t="shared" si="3"/>
        <v>OCOTEPEQUE, LUCERNA, Honduras</v>
      </c>
    </row>
    <row r="103" spans="1:4" x14ac:dyDescent="0.3">
      <c r="A103" s="4" t="s">
        <v>859</v>
      </c>
      <c r="B103" s="4" t="s">
        <v>861</v>
      </c>
      <c r="C103" s="4" t="s">
        <v>918</v>
      </c>
      <c r="D103" t="str">
        <f t="shared" si="3"/>
        <v>SANTA BARBARA, MACUELIZO, Honduras</v>
      </c>
    </row>
    <row r="104" spans="1:4" x14ac:dyDescent="0.3">
      <c r="A104" s="4" t="s">
        <v>859</v>
      </c>
      <c r="B104" s="4" t="s">
        <v>871</v>
      </c>
      <c r="C104" s="4" t="s">
        <v>919</v>
      </c>
      <c r="D104" t="str">
        <f t="shared" si="3"/>
        <v>INTIBUCA, MAGDALENA, Honduras</v>
      </c>
    </row>
    <row r="105" spans="1:4" x14ac:dyDescent="0.3">
      <c r="A105" s="4" t="s">
        <v>859</v>
      </c>
      <c r="B105" s="4" t="s">
        <v>866</v>
      </c>
      <c r="C105" s="4" t="s">
        <v>920</v>
      </c>
      <c r="D105" t="str">
        <f t="shared" si="3"/>
        <v>LEMPIRA, MAPULACA, Honduras</v>
      </c>
    </row>
    <row r="106" spans="1:4" x14ac:dyDescent="0.3">
      <c r="A106" s="4" t="s">
        <v>859</v>
      </c>
      <c r="B106" s="4" t="s">
        <v>566</v>
      </c>
      <c r="C106" s="4" t="s">
        <v>921</v>
      </c>
      <c r="D106" t="str">
        <f t="shared" si="3"/>
        <v>LA PAZ, MARCALA, Honduras</v>
      </c>
    </row>
    <row r="107" spans="1:4" x14ac:dyDescent="0.3">
      <c r="A107" s="4" t="s">
        <v>859</v>
      </c>
      <c r="B107" s="4" t="s">
        <v>871</v>
      </c>
      <c r="C107" s="4" t="s">
        <v>922</v>
      </c>
      <c r="D107" t="str">
        <f t="shared" si="3"/>
        <v>INTIBUCA, MASAGUARA, Honduras</v>
      </c>
    </row>
    <row r="108" spans="1:4" x14ac:dyDescent="0.3">
      <c r="A108" s="4" t="s">
        <v>859</v>
      </c>
      <c r="B108" s="4" t="s">
        <v>868</v>
      </c>
      <c r="C108" s="4" t="s">
        <v>923</v>
      </c>
      <c r="D108" t="str">
        <f t="shared" si="3"/>
        <v>OCOTEPEQUE, MERCEDES, Honduras</v>
      </c>
    </row>
    <row r="109" spans="1:4" x14ac:dyDescent="0.3">
      <c r="A109" s="4" t="s">
        <v>859</v>
      </c>
      <c r="B109" s="4" t="s">
        <v>566</v>
      </c>
      <c r="C109" s="4" t="s">
        <v>924</v>
      </c>
      <c r="D109" t="str">
        <f t="shared" si="3"/>
        <v>LA PAZ, MERCEDES DE ORIENTE, Honduras</v>
      </c>
    </row>
    <row r="110" spans="1:4" x14ac:dyDescent="0.3">
      <c r="A110" s="4" t="s">
        <v>859</v>
      </c>
      <c r="B110" s="4" t="s">
        <v>863</v>
      </c>
      <c r="C110" s="4" t="s">
        <v>925</v>
      </c>
      <c r="D110" t="str">
        <f t="shared" si="3"/>
        <v>YORO, MORAZAN, Honduras</v>
      </c>
    </row>
    <row r="111" spans="1:4" x14ac:dyDescent="0.3">
      <c r="A111" s="4" t="s">
        <v>859</v>
      </c>
      <c r="B111" s="4" t="s">
        <v>861</v>
      </c>
      <c r="C111" s="4" t="s">
        <v>926</v>
      </c>
      <c r="D111" t="str">
        <f t="shared" si="3"/>
        <v>SANTA BARBARA, NARANJITO, Honduras</v>
      </c>
    </row>
    <row r="112" spans="1:4" x14ac:dyDescent="0.3">
      <c r="A112" s="4" t="s">
        <v>859</v>
      </c>
      <c r="B112" s="4" t="s">
        <v>870</v>
      </c>
      <c r="C112" s="4" t="s">
        <v>927</v>
      </c>
      <c r="D112" t="str">
        <f t="shared" si="3"/>
        <v>COPAN, NUEVA ARCADIA, Honduras</v>
      </c>
    </row>
    <row r="113" spans="1:4" x14ac:dyDescent="0.3">
      <c r="A113" s="4" t="s">
        <v>859</v>
      </c>
      <c r="B113" s="4" t="s">
        <v>861</v>
      </c>
      <c r="C113" s="4" t="s">
        <v>928</v>
      </c>
      <c r="D113" t="str">
        <f t="shared" si="3"/>
        <v>SANTA BARBARA, NUEVA FRONTERA, Honduras</v>
      </c>
    </row>
    <row r="114" spans="1:4" x14ac:dyDescent="0.3">
      <c r="A114" s="4" t="s">
        <v>859</v>
      </c>
      <c r="B114" s="4" t="s">
        <v>861</v>
      </c>
      <c r="C114" s="4" t="s">
        <v>929</v>
      </c>
      <c r="D114" t="str">
        <f t="shared" si="3"/>
        <v>SANTA BARBARA, NUEVO CELILAC, Honduras</v>
      </c>
    </row>
    <row r="115" spans="1:4" x14ac:dyDescent="0.3">
      <c r="A115" s="4" t="s">
        <v>859</v>
      </c>
      <c r="B115" s="4" t="s">
        <v>868</v>
      </c>
      <c r="C115" s="4" t="s">
        <v>930</v>
      </c>
      <c r="D115" t="str">
        <f t="shared" si="3"/>
        <v>OCOTEPEQUE, NUEVO OCOTEPEQUE, Honduras</v>
      </c>
    </row>
    <row r="116" spans="1:4" x14ac:dyDescent="0.3">
      <c r="A116" s="4" t="s">
        <v>859</v>
      </c>
      <c r="B116" s="4" t="s">
        <v>863</v>
      </c>
      <c r="C116" s="4" t="s">
        <v>931</v>
      </c>
      <c r="D116" t="str">
        <f t="shared" si="3"/>
        <v>YORO, OLANCHITO, Honduras</v>
      </c>
    </row>
    <row r="117" spans="1:4" x14ac:dyDescent="0.3">
      <c r="A117" s="4" t="s">
        <v>859</v>
      </c>
      <c r="B117" s="4" t="s">
        <v>877</v>
      </c>
      <c r="C117" s="4" t="s">
        <v>932</v>
      </c>
      <c r="D117" t="str">
        <f t="shared" si="3"/>
        <v>CORTES, OMOA, Honduras</v>
      </c>
    </row>
    <row r="118" spans="1:4" x14ac:dyDescent="0.3">
      <c r="A118" s="4" t="s">
        <v>859</v>
      </c>
      <c r="B118" s="4" t="s">
        <v>566</v>
      </c>
      <c r="C118" s="4" t="s">
        <v>933</v>
      </c>
      <c r="D118" t="str">
        <f t="shared" si="3"/>
        <v>LA PAZ, OPATORO, Honduras</v>
      </c>
    </row>
    <row r="119" spans="1:4" x14ac:dyDescent="0.3">
      <c r="A119" s="4" t="s">
        <v>859</v>
      </c>
      <c r="B119" s="4" t="s">
        <v>861</v>
      </c>
      <c r="C119" s="4" t="s">
        <v>934</v>
      </c>
      <c r="D119" s="18" t="str">
        <f t="shared" si="3"/>
        <v>SANTA BARBARA, PETOA, Honduras</v>
      </c>
    </row>
    <row r="120" spans="1:4" x14ac:dyDescent="0.3">
      <c r="A120" s="4" t="s">
        <v>859</v>
      </c>
      <c r="B120" s="4" t="s">
        <v>877</v>
      </c>
      <c r="C120" s="4" t="s">
        <v>935</v>
      </c>
      <c r="D120" s="18" t="str">
        <f t="shared" si="3"/>
        <v>CORTES, PIMIENTA, Honduras</v>
      </c>
    </row>
    <row r="121" spans="1:4" x14ac:dyDescent="0.3">
      <c r="A121" s="4" t="s">
        <v>859</v>
      </c>
      <c r="B121" s="4" t="s">
        <v>866</v>
      </c>
      <c r="C121" s="4" t="s">
        <v>936</v>
      </c>
      <c r="D121" s="18" t="str">
        <f t="shared" si="3"/>
        <v>LEMPIRA, PIRAERA, Honduras</v>
      </c>
    </row>
    <row r="122" spans="1:4" x14ac:dyDescent="0.3">
      <c r="A122" s="4" t="s">
        <v>859</v>
      </c>
      <c r="B122" s="4" t="s">
        <v>877</v>
      </c>
      <c r="C122" s="4" t="s">
        <v>937</v>
      </c>
      <c r="D122" s="18" t="str">
        <f t="shared" si="3"/>
        <v>CORTES, POTRERILLOS, Honduras</v>
      </c>
    </row>
    <row r="123" spans="1:4" x14ac:dyDescent="0.3">
      <c r="A123" s="4" t="s">
        <v>859</v>
      </c>
      <c r="B123" s="4" t="s">
        <v>861</v>
      </c>
      <c r="C123" s="4" t="s">
        <v>938</v>
      </c>
      <c r="D123" s="18" t="str">
        <f t="shared" si="3"/>
        <v>SANTA BARBARA, PROTECCION, Honduras</v>
      </c>
    </row>
    <row r="124" spans="1:4" x14ac:dyDescent="0.3">
      <c r="A124" s="4" t="s">
        <v>859</v>
      </c>
      <c r="B124" s="4" t="s">
        <v>877</v>
      </c>
      <c r="C124" s="4" t="s">
        <v>939</v>
      </c>
      <c r="D124" s="18" t="str">
        <f t="shared" si="3"/>
        <v>CORTES, PUERTO CORTES, Honduras</v>
      </c>
    </row>
    <row r="125" spans="1:4" x14ac:dyDescent="0.3">
      <c r="A125" s="4" t="s">
        <v>859</v>
      </c>
      <c r="B125" s="4" t="s">
        <v>861</v>
      </c>
      <c r="C125" s="4" t="s">
        <v>940</v>
      </c>
      <c r="D125" s="18" t="str">
        <f t="shared" si="3"/>
        <v>SANTA BARBARA, QUIMISTAN, Honduras</v>
      </c>
    </row>
    <row r="126" spans="1:4" x14ac:dyDescent="0.3">
      <c r="A126" s="4" t="s">
        <v>859</v>
      </c>
      <c r="B126" s="4" t="s">
        <v>899</v>
      </c>
      <c r="C126" s="4" t="s">
        <v>941</v>
      </c>
      <c r="D126" s="18" t="str">
        <f t="shared" si="3"/>
        <v>ISLAS DE LA BAHIA, ROATAN, Honduras</v>
      </c>
    </row>
    <row r="127" spans="1:4" x14ac:dyDescent="0.3">
      <c r="A127" s="4" t="s">
        <v>859</v>
      </c>
      <c r="B127" s="4" t="s">
        <v>870</v>
      </c>
      <c r="C127" s="4" t="s">
        <v>733</v>
      </c>
      <c r="D127" s="18" t="str">
        <f t="shared" si="3"/>
        <v>COPAN, SAN AGUSTIN, Honduras</v>
      </c>
    </row>
    <row r="128" spans="1:4" x14ac:dyDescent="0.3">
      <c r="A128" s="4" t="s">
        <v>859</v>
      </c>
      <c r="B128" s="4" t="s">
        <v>866</v>
      </c>
      <c r="C128" s="4" t="s">
        <v>942</v>
      </c>
      <c r="D128" s="18" t="str">
        <f t="shared" si="3"/>
        <v>LEMPIRA, SAN ANDRES, Honduras</v>
      </c>
    </row>
    <row r="129" spans="1:4" x14ac:dyDescent="0.3">
      <c r="A129" s="4" t="s">
        <v>859</v>
      </c>
      <c r="B129" s="4" t="s">
        <v>871</v>
      </c>
      <c r="C129" s="4" t="s">
        <v>711</v>
      </c>
      <c r="D129" s="18" t="str">
        <f t="shared" si="3"/>
        <v>INTIBUCA, SAN ANTONIO, Honduras</v>
      </c>
    </row>
    <row r="130" spans="1:4" x14ac:dyDescent="0.3">
      <c r="A130" s="4" t="s">
        <v>859</v>
      </c>
      <c r="B130" s="4" t="s">
        <v>870</v>
      </c>
      <c r="C130" s="4" t="s">
        <v>711</v>
      </c>
      <c r="D130" s="18" t="str">
        <f t="shared" ref="D130:D161" si="4">B130&amp;", "&amp;C130&amp;", Honduras"</f>
        <v>COPAN, SAN ANTONIO, Honduras</v>
      </c>
    </row>
    <row r="131" spans="1:4" x14ac:dyDescent="0.3">
      <c r="A131" s="4" t="s">
        <v>859</v>
      </c>
      <c r="B131" s="4" t="s">
        <v>877</v>
      </c>
      <c r="C131" s="4" t="s">
        <v>943</v>
      </c>
      <c r="D131" s="18" t="str">
        <f t="shared" si="4"/>
        <v>CORTES, SAN ANTONIO DE CORTES, Honduras</v>
      </c>
    </row>
    <row r="132" spans="1:4" x14ac:dyDescent="0.3">
      <c r="A132" s="4" t="s">
        <v>859</v>
      </c>
      <c r="B132" s="4" t="s">
        <v>566</v>
      </c>
      <c r="C132" s="4" t="s">
        <v>944</v>
      </c>
      <c r="D132" s="18" t="str">
        <f t="shared" si="4"/>
        <v>LA PAZ, SAN ANTONIO DEL NORTE, Honduras</v>
      </c>
    </row>
    <row r="133" spans="1:4" x14ac:dyDescent="0.3">
      <c r="A133" s="4" t="s">
        <v>859</v>
      </c>
      <c r="B133" s="4" t="s">
        <v>868</v>
      </c>
      <c r="C133" s="4" t="s">
        <v>648</v>
      </c>
      <c r="D133" s="18" t="str">
        <f t="shared" si="4"/>
        <v>OCOTEPEQUE, SAN FERNANDO, Honduras</v>
      </c>
    </row>
    <row r="134" spans="1:4" x14ac:dyDescent="0.3">
      <c r="A134" s="4" t="s">
        <v>859</v>
      </c>
      <c r="B134" s="4" t="s">
        <v>866</v>
      </c>
      <c r="C134" s="4" t="s">
        <v>18</v>
      </c>
      <c r="D134" s="18" t="str">
        <f t="shared" si="4"/>
        <v>LEMPIRA, SAN FRANCISCO, Honduras</v>
      </c>
    </row>
    <row r="135" spans="1:4" x14ac:dyDescent="0.3">
      <c r="A135" s="4" t="s">
        <v>859</v>
      </c>
      <c r="B135" s="4" t="s">
        <v>861</v>
      </c>
      <c r="C135" s="4" t="s">
        <v>945</v>
      </c>
      <c r="D135" s="18" t="str">
        <f t="shared" si="4"/>
        <v>SANTA BARBARA, SAN FRANCISCO DE OJUERA, Honduras</v>
      </c>
    </row>
    <row r="136" spans="1:4" x14ac:dyDescent="0.3">
      <c r="A136" s="4" t="s">
        <v>859</v>
      </c>
      <c r="B136" s="4" t="s">
        <v>871</v>
      </c>
      <c r="C136" s="4" t="s">
        <v>946</v>
      </c>
      <c r="D136" s="18" t="str">
        <f t="shared" si="4"/>
        <v>INTIBUCA, SAN FRANCISCO DE OPALACA, Honduras</v>
      </c>
    </row>
    <row r="137" spans="1:4" x14ac:dyDescent="0.3">
      <c r="A137" s="4" t="s">
        <v>859</v>
      </c>
      <c r="B137" s="4" t="s">
        <v>877</v>
      </c>
      <c r="C137" s="4" t="s">
        <v>947</v>
      </c>
      <c r="D137" s="18" t="str">
        <f t="shared" si="4"/>
        <v>CORTES, SAN FRANCISCO DE YOJOA, Honduras</v>
      </c>
    </row>
    <row r="138" spans="1:4" x14ac:dyDescent="0.3">
      <c r="A138" s="4" t="s">
        <v>859</v>
      </c>
      <c r="B138" s="4" t="s">
        <v>868</v>
      </c>
      <c r="C138" s="4" t="s">
        <v>948</v>
      </c>
      <c r="D138" s="18" t="str">
        <f t="shared" si="4"/>
        <v>OCOTEPEQUE, SAN FRANCISCO DEL VALLE, Honduras</v>
      </c>
    </row>
    <row r="139" spans="1:4" x14ac:dyDescent="0.3">
      <c r="A139" s="4" t="s">
        <v>859</v>
      </c>
      <c r="B139" s="4" t="s">
        <v>871</v>
      </c>
      <c r="C139" s="4" t="s">
        <v>621</v>
      </c>
      <c r="D139" s="18" t="str">
        <f t="shared" si="4"/>
        <v>INTIBUCA, SAN ISIDRO, Honduras</v>
      </c>
    </row>
    <row r="140" spans="1:4" x14ac:dyDescent="0.3">
      <c r="A140" s="4" t="s">
        <v>859</v>
      </c>
      <c r="B140" s="4" t="s">
        <v>870</v>
      </c>
      <c r="C140" s="4" t="s">
        <v>846</v>
      </c>
      <c r="D140" s="18" t="str">
        <f t="shared" si="4"/>
        <v>COPAN, SAN JERONIMO, Honduras</v>
      </c>
    </row>
    <row r="141" spans="1:4" x14ac:dyDescent="0.3">
      <c r="A141" s="4" t="s">
        <v>859</v>
      </c>
      <c r="B141" s="4" t="s">
        <v>868</v>
      </c>
      <c r="C141" s="4" t="s">
        <v>713</v>
      </c>
      <c r="D141" s="18" t="str">
        <f t="shared" si="4"/>
        <v>OCOTEPEQUE, SAN JORGE, Honduras</v>
      </c>
    </row>
    <row r="142" spans="1:4" x14ac:dyDescent="0.3">
      <c r="A142" s="4" t="s">
        <v>859</v>
      </c>
      <c r="B142" s="4" t="s">
        <v>870</v>
      </c>
      <c r="C142" s="4" t="s">
        <v>671</v>
      </c>
      <c r="D142" s="18" t="str">
        <f t="shared" si="4"/>
        <v>COPAN, SAN JOSE, Honduras</v>
      </c>
    </row>
    <row r="143" spans="1:4" x14ac:dyDescent="0.3">
      <c r="A143" s="4" t="s">
        <v>859</v>
      </c>
      <c r="B143" s="4" t="s">
        <v>566</v>
      </c>
      <c r="C143" s="4" t="s">
        <v>671</v>
      </c>
      <c r="D143" s="18" t="str">
        <f t="shared" si="4"/>
        <v>LA PAZ, SAN JOSE, Honduras</v>
      </c>
    </row>
    <row r="144" spans="1:4" x14ac:dyDescent="0.3">
      <c r="A144" s="4" t="s">
        <v>859</v>
      </c>
      <c r="B144" s="4" t="s">
        <v>861</v>
      </c>
      <c r="C144" s="4" t="s">
        <v>949</v>
      </c>
      <c r="D144" s="18" t="str">
        <f t="shared" si="4"/>
        <v>SANTA BARBARA, SAN JOSE DE COLINAS, Honduras</v>
      </c>
    </row>
    <row r="145" spans="1:4" x14ac:dyDescent="0.3">
      <c r="A145" s="4" t="s">
        <v>859</v>
      </c>
      <c r="B145" s="4" t="s">
        <v>566</v>
      </c>
      <c r="C145" s="4" t="s">
        <v>950</v>
      </c>
      <c r="D145" s="18" t="str">
        <f t="shared" si="4"/>
        <v>LA PAZ, SAN JUAN, Honduras</v>
      </c>
    </row>
    <row r="146" spans="1:4" x14ac:dyDescent="0.3">
      <c r="A146" s="4" t="s">
        <v>859</v>
      </c>
      <c r="B146" s="4" t="s">
        <v>871</v>
      </c>
      <c r="C146" s="4" t="s">
        <v>950</v>
      </c>
      <c r="D146" s="18" t="str">
        <f t="shared" si="4"/>
        <v>INTIBUCA, SAN JUAN, Honduras</v>
      </c>
    </row>
    <row r="147" spans="1:4" x14ac:dyDescent="0.3">
      <c r="A147" s="4" t="s">
        <v>859</v>
      </c>
      <c r="B147" s="4" t="s">
        <v>870</v>
      </c>
      <c r="C147" s="4" t="s">
        <v>951</v>
      </c>
      <c r="D147" s="18" t="str">
        <f t="shared" si="4"/>
        <v>COPAN, SAN JUAN DE OPOA, Honduras</v>
      </c>
    </row>
    <row r="148" spans="1:4" x14ac:dyDescent="0.3">
      <c r="A148" s="4" t="s">
        <v>859</v>
      </c>
      <c r="B148" s="4" t="s">
        <v>866</v>
      </c>
      <c r="C148" s="4" t="s">
        <v>952</v>
      </c>
      <c r="D148" s="18" t="str">
        <f t="shared" si="4"/>
        <v>LEMPIRA, SAN JUAN GUARITA, Honduras</v>
      </c>
    </row>
    <row r="149" spans="1:4" x14ac:dyDescent="0.3">
      <c r="A149" s="4" t="s">
        <v>859</v>
      </c>
      <c r="B149" s="4" t="s">
        <v>861</v>
      </c>
      <c r="C149" s="4" t="s">
        <v>850</v>
      </c>
      <c r="D149" s="18" t="str">
        <f t="shared" si="4"/>
        <v>SANTA BARBARA, SAN LUIS, Honduras</v>
      </c>
    </row>
    <row r="150" spans="1:4" x14ac:dyDescent="0.3">
      <c r="A150" s="4" t="s">
        <v>859</v>
      </c>
      <c r="B150" s="4" t="s">
        <v>877</v>
      </c>
      <c r="C150" s="4" t="s">
        <v>953</v>
      </c>
      <c r="D150" s="18" t="str">
        <f t="shared" si="4"/>
        <v>CORTES, SAN MANUEL, Honduras</v>
      </c>
    </row>
    <row r="151" spans="1:4" x14ac:dyDescent="0.3">
      <c r="A151" s="4" t="s">
        <v>859</v>
      </c>
      <c r="B151" s="4" t="s">
        <v>866</v>
      </c>
      <c r="C151" s="4" t="s">
        <v>954</v>
      </c>
      <c r="D151" s="18" t="str">
        <f t="shared" si="4"/>
        <v>LEMPIRA, SAN MANUEL COLOHETE, Honduras</v>
      </c>
    </row>
    <row r="152" spans="1:4" x14ac:dyDescent="0.3">
      <c r="A152" s="4" t="s">
        <v>859</v>
      </c>
      <c r="B152" s="4" t="s">
        <v>861</v>
      </c>
      <c r="C152" s="4" t="s">
        <v>553</v>
      </c>
      <c r="D152" s="18" t="str">
        <f t="shared" si="4"/>
        <v>SANTA BARBARA, SAN MARCOS, Honduras</v>
      </c>
    </row>
    <row r="153" spans="1:4" x14ac:dyDescent="0.3">
      <c r="A153" s="4" t="s">
        <v>859</v>
      </c>
      <c r="B153" s="4" t="s">
        <v>868</v>
      </c>
      <c r="C153" s="4" t="s">
        <v>553</v>
      </c>
      <c r="D153" s="18" t="str">
        <f t="shared" si="4"/>
        <v>OCOTEPEQUE, SAN MARCOS, Honduras</v>
      </c>
    </row>
    <row r="154" spans="1:4" x14ac:dyDescent="0.3">
      <c r="A154" s="4" t="s">
        <v>859</v>
      </c>
      <c r="B154" s="4" t="s">
        <v>866</v>
      </c>
      <c r="C154" s="4" t="s">
        <v>955</v>
      </c>
      <c r="D154" s="18" t="str">
        <f t="shared" si="4"/>
        <v>LEMPIRA, SAN MARCOS DE CAIQUIN, Honduras</v>
      </c>
    </row>
    <row r="155" spans="1:4" x14ac:dyDescent="0.3">
      <c r="A155" s="4" t="s">
        <v>859</v>
      </c>
      <c r="B155" s="4" t="s">
        <v>871</v>
      </c>
      <c r="C155" s="4" t="s">
        <v>956</v>
      </c>
      <c r="D155" s="18" t="str">
        <f t="shared" si="4"/>
        <v>INTIBUCA, SAN MARCOS DE LA SIERRA, Honduras</v>
      </c>
    </row>
    <row r="156" spans="1:4" x14ac:dyDescent="0.3">
      <c r="A156" s="4" t="s">
        <v>859</v>
      </c>
      <c r="B156" s="4" t="s">
        <v>871</v>
      </c>
      <c r="C156" s="4" t="s">
        <v>47</v>
      </c>
      <c r="D156" s="18" t="str">
        <f t="shared" si="4"/>
        <v>INTIBUCA, SAN MIGUELITO, Honduras</v>
      </c>
    </row>
    <row r="157" spans="1:4" x14ac:dyDescent="0.3">
      <c r="A157" s="4" t="s">
        <v>859</v>
      </c>
      <c r="B157" s="4" t="s">
        <v>870</v>
      </c>
      <c r="C157" s="4" t="s">
        <v>957</v>
      </c>
      <c r="D157" s="18" t="str">
        <f t="shared" si="4"/>
        <v>COPAN, SAN NICOLAS, Honduras</v>
      </c>
    </row>
    <row r="158" spans="1:4" x14ac:dyDescent="0.3">
      <c r="A158" s="4" t="s">
        <v>859</v>
      </c>
      <c r="B158" s="4" t="s">
        <v>861</v>
      </c>
      <c r="C158" s="4" t="s">
        <v>957</v>
      </c>
      <c r="D158" s="18" t="str">
        <f t="shared" si="4"/>
        <v>SANTA BARBARA, SAN NICOLAS, Honduras</v>
      </c>
    </row>
    <row r="159" spans="1:4" x14ac:dyDescent="0.3">
      <c r="A159" s="4" t="s">
        <v>859</v>
      </c>
      <c r="B159" s="4" t="s">
        <v>870</v>
      </c>
      <c r="C159" s="4" t="s">
        <v>958</v>
      </c>
      <c r="D159" s="18" t="str">
        <f t="shared" si="4"/>
        <v>COPAN, SAN PEDRO, Honduras</v>
      </c>
    </row>
    <row r="160" spans="1:4" x14ac:dyDescent="0.3">
      <c r="A160" s="4" t="s">
        <v>859</v>
      </c>
      <c r="B160" s="4" t="s">
        <v>566</v>
      </c>
      <c r="C160" s="4" t="s">
        <v>959</v>
      </c>
      <c r="D160" s="18" t="str">
        <f t="shared" si="4"/>
        <v>LA PAZ, SAN PEDRO DE TUTULE, Honduras</v>
      </c>
    </row>
    <row r="161" spans="1:4" x14ac:dyDescent="0.3">
      <c r="A161" s="4" t="s">
        <v>859</v>
      </c>
      <c r="B161" s="4" t="s">
        <v>877</v>
      </c>
      <c r="C161" s="4" t="s">
        <v>960</v>
      </c>
      <c r="D161" s="18" t="str">
        <f t="shared" si="4"/>
        <v>CORTES, SAN PEDRO SULA, Honduras</v>
      </c>
    </row>
    <row r="162" spans="1:4" x14ac:dyDescent="0.3">
      <c r="A162" s="4" t="s">
        <v>859</v>
      </c>
      <c r="B162" s="4" t="s">
        <v>861</v>
      </c>
      <c r="C162" s="4" t="s">
        <v>961</v>
      </c>
      <c r="D162" s="18" t="str">
        <f t="shared" ref="D162:D193" si="5">B162&amp;", "&amp;C162&amp;", Honduras"</f>
        <v>SANTA BARBARA, SAN PEDRO ZACAPA, Honduras</v>
      </c>
    </row>
    <row r="163" spans="1:4" x14ac:dyDescent="0.3">
      <c r="A163" s="4" t="s">
        <v>859</v>
      </c>
      <c r="B163" s="4" t="s">
        <v>866</v>
      </c>
      <c r="C163" s="4" t="s">
        <v>655</v>
      </c>
      <c r="D163" s="18" t="str">
        <f t="shared" si="5"/>
        <v>LEMPIRA, SAN RAFAEL, Honduras</v>
      </c>
    </row>
    <row r="164" spans="1:4" x14ac:dyDescent="0.3">
      <c r="A164" s="4" t="s">
        <v>859</v>
      </c>
      <c r="B164" s="4" t="s">
        <v>866</v>
      </c>
      <c r="C164" s="4" t="s">
        <v>611</v>
      </c>
      <c r="D164" s="18" t="str">
        <f t="shared" si="5"/>
        <v>LEMPIRA, SAN SEBASTIAN, Honduras</v>
      </c>
    </row>
    <row r="165" spans="1:4" x14ac:dyDescent="0.3">
      <c r="A165" s="4" t="s">
        <v>859</v>
      </c>
      <c r="B165" s="4" t="s">
        <v>861</v>
      </c>
      <c r="C165" s="4" t="s">
        <v>962</v>
      </c>
      <c r="D165" s="18" t="str">
        <f t="shared" si="5"/>
        <v>SANTA BARBARA, SAN VICENTE CENTENARIO, Honduras</v>
      </c>
    </row>
    <row r="166" spans="1:4" x14ac:dyDescent="0.3">
      <c r="A166" s="4" t="s">
        <v>859</v>
      </c>
      <c r="B166" s="4" t="s">
        <v>566</v>
      </c>
      <c r="C166" s="4" t="s">
        <v>486</v>
      </c>
      <c r="D166" s="18" t="str">
        <f t="shared" si="5"/>
        <v>LA PAZ, SANTA ANA, Honduras</v>
      </c>
    </row>
    <row r="167" spans="1:4" x14ac:dyDescent="0.3">
      <c r="A167" s="4" t="s">
        <v>859</v>
      </c>
      <c r="B167" s="4" t="s">
        <v>861</v>
      </c>
      <c r="C167" s="4" t="s">
        <v>861</v>
      </c>
      <c r="D167" s="18" t="str">
        <f t="shared" si="5"/>
        <v>SANTA BARBARA, SANTA BARBARA, Honduras</v>
      </c>
    </row>
    <row r="168" spans="1:4" x14ac:dyDescent="0.3">
      <c r="A168" s="4" t="s">
        <v>859</v>
      </c>
      <c r="B168" s="4" t="s">
        <v>866</v>
      </c>
      <c r="C168" s="4" t="s">
        <v>963</v>
      </c>
      <c r="D168" s="18" t="str">
        <f t="shared" si="5"/>
        <v>LEMPIRA, SANTA CRUZ, Honduras</v>
      </c>
    </row>
    <row r="169" spans="1:4" x14ac:dyDescent="0.3">
      <c r="A169" s="4" t="s">
        <v>859</v>
      </c>
      <c r="B169" s="4" t="s">
        <v>877</v>
      </c>
      <c r="C169" s="4" t="s">
        <v>964</v>
      </c>
      <c r="D169" s="18" t="str">
        <f t="shared" si="5"/>
        <v>CORTES, SANTA CRUZ DE YOJOA, Honduras</v>
      </c>
    </row>
    <row r="170" spans="1:4" x14ac:dyDescent="0.3">
      <c r="A170" s="4" t="s">
        <v>859</v>
      </c>
      <c r="B170" s="4" t="s">
        <v>566</v>
      </c>
      <c r="C170" s="4" t="s">
        <v>737</v>
      </c>
      <c r="D170" s="18" t="str">
        <f t="shared" si="5"/>
        <v>LA PAZ, SANTA ELENA, Honduras</v>
      </c>
    </row>
    <row r="171" spans="1:4" x14ac:dyDescent="0.3">
      <c r="A171" s="4" t="s">
        <v>859</v>
      </c>
      <c r="B171" s="4" t="s">
        <v>868</v>
      </c>
      <c r="C171" s="4" t="s">
        <v>965</v>
      </c>
      <c r="D171" s="18" t="str">
        <f t="shared" si="5"/>
        <v>OCOTEPEQUE, SANTA FE, Honduras</v>
      </c>
    </row>
    <row r="172" spans="1:4" x14ac:dyDescent="0.3">
      <c r="A172" s="4" t="s">
        <v>859</v>
      </c>
      <c r="B172" s="4" t="s">
        <v>871</v>
      </c>
      <c r="C172" s="13" t="s">
        <v>856</v>
      </c>
      <c r="D172" s="18" t="str">
        <f t="shared" si="5"/>
        <v>INTIBUCA, SANTA LUCIA, Honduras</v>
      </c>
    </row>
    <row r="173" spans="1:4" x14ac:dyDescent="0.3">
      <c r="A173" s="4" t="s">
        <v>859</v>
      </c>
      <c r="B173" s="4" t="s">
        <v>566</v>
      </c>
      <c r="C173" s="4" t="s">
        <v>738</v>
      </c>
      <c r="D173" s="18" t="str">
        <f t="shared" si="5"/>
        <v>LA PAZ, SANTA MARIA, Honduras</v>
      </c>
    </row>
    <row r="174" spans="1:4" x14ac:dyDescent="0.3">
      <c r="A174" s="4" t="s">
        <v>859</v>
      </c>
      <c r="B174" s="4" t="s">
        <v>861</v>
      </c>
      <c r="C174" s="4" t="s">
        <v>656</v>
      </c>
      <c r="D174" s="18" t="str">
        <f t="shared" si="5"/>
        <v>SANTA BARBARA, SANTA RITA, Honduras</v>
      </c>
    </row>
    <row r="175" spans="1:4" x14ac:dyDescent="0.3">
      <c r="A175" s="4" t="s">
        <v>859</v>
      </c>
      <c r="B175" s="4" t="s">
        <v>863</v>
      </c>
      <c r="C175" s="4" t="s">
        <v>656</v>
      </c>
      <c r="D175" s="18" t="str">
        <f t="shared" si="5"/>
        <v>YORO, SANTA RITA, Honduras</v>
      </c>
    </row>
    <row r="176" spans="1:4" x14ac:dyDescent="0.3">
      <c r="A176" s="4" t="s">
        <v>859</v>
      </c>
      <c r="B176" s="4" t="s">
        <v>870</v>
      </c>
      <c r="C176" s="4" t="s">
        <v>656</v>
      </c>
      <c r="D176" s="18" t="str">
        <f t="shared" si="5"/>
        <v>COPAN, SANTA RITA, Honduras</v>
      </c>
    </row>
    <row r="177" spans="1:4" x14ac:dyDescent="0.3">
      <c r="A177" s="4" t="s">
        <v>859</v>
      </c>
      <c r="B177" s="4" t="s">
        <v>870</v>
      </c>
      <c r="C177" s="4" t="s">
        <v>966</v>
      </c>
      <c r="D177" s="18" t="str">
        <f t="shared" si="5"/>
        <v>COPAN, SANTA ROSA DE COPAN, Honduras</v>
      </c>
    </row>
    <row r="178" spans="1:4" x14ac:dyDescent="0.3">
      <c r="A178" s="4" t="s">
        <v>859</v>
      </c>
      <c r="B178" s="4" t="s">
        <v>566</v>
      </c>
      <c r="C178" s="4" t="s">
        <v>967</v>
      </c>
      <c r="D178" s="18" t="str">
        <f t="shared" si="5"/>
        <v>LA PAZ, SANTIAGO DE PURINGLA, Honduras</v>
      </c>
    </row>
    <row r="179" spans="1:4" x14ac:dyDescent="0.3">
      <c r="A179" s="4" t="s">
        <v>859</v>
      </c>
      <c r="B179" s="4" t="s">
        <v>868</v>
      </c>
      <c r="C179" s="4" t="s">
        <v>968</v>
      </c>
      <c r="D179" s="18" t="str">
        <f t="shared" si="5"/>
        <v>OCOTEPEQUE, SENSENTI, Honduras</v>
      </c>
    </row>
    <row r="180" spans="1:4" x14ac:dyDescent="0.3">
      <c r="A180" s="4" t="s">
        <v>859</v>
      </c>
      <c r="B180" s="4" t="s">
        <v>868</v>
      </c>
      <c r="C180" s="4" t="s">
        <v>969</v>
      </c>
      <c r="D180" s="18" t="str">
        <f t="shared" si="5"/>
        <v>OCOTEPEQUE, SINUAPA, Honduras</v>
      </c>
    </row>
    <row r="181" spans="1:4" x14ac:dyDescent="0.3">
      <c r="A181" s="4" t="s">
        <v>859</v>
      </c>
      <c r="B181" s="4" t="s">
        <v>863</v>
      </c>
      <c r="C181" s="4" t="s">
        <v>970</v>
      </c>
      <c r="D181" s="18" t="str">
        <f t="shared" si="5"/>
        <v>YORO, SULACO, Honduras</v>
      </c>
    </row>
    <row r="182" spans="1:4" x14ac:dyDescent="0.3">
      <c r="A182" s="4" t="s">
        <v>859</v>
      </c>
      <c r="B182" s="4" t="s">
        <v>866</v>
      </c>
      <c r="C182" s="4" t="s">
        <v>971</v>
      </c>
      <c r="D182" s="18" t="str">
        <f t="shared" si="5"/>
        <v>LEMPIRA, TALGUA, Honduras</v>
      </c>
    </row>
    <row r="183" spans="1:4" x14ac:dyDescent="0.3">
      <c r="A183" s="4" t="s">
        <v>859</v>
      </c>
      <c r="B183" s="4" t="s">
        <v>866</v>
      </c>
      <c r="C183" s="4" t="s">
        <v>972</v>
      </c>
      <c r="D183" s="18" t="str">
        <f t="shared" si="5"/>
        <v>LEMPIRA, TAMBLA, Honduras</v>
      </c>
    </row>
    <row r="184" spans="1:4" x14ac:dyDescent="0.3">
      <c r="A184" s="4" t="s">
        <v>859</v>
      </c>
      <c r="B184" s="4" t="s">
        <v>866</v>
      </c>
      <c r="C184" s="4" t="s">
        <v>973</v>
      </c>
      <c r="D184" s="18" t="str">
        <f t="shared" si="5"/>
        <v>LEMPIRA, TOMALA, Honduras</v>
      </c>
    </row>
    <row r="185" spans="1:4" x14ac:dyDescent="0.3">
      <c r="A185" s="4" t="s">
        <v>859</v>
      </c>
      <c r="B185" s="4" t="s">
        <v>861</v>
      </c>
      <c r="C185" s="4" t="s">
        <v>974</v>
      </c>
      <c r="D185" s="18" t="str">
        <f t="shared" si="5"/>
        <v>SANTA BARBARA, TRINIDAD, Honduras</v>
      </c>
    </row>
    <row r="186" spans="1:4" x14ac:dyDescent="0.3">
      <c r="A186" s="4" t="s">
        <v>859</v>
      </c>
      <c r="B186" s="4" t="s">
        <v>870</v>
      </c>
      <c r="C186" s="4" t="s">
        <v>975</v>
      </c>
      <c r="D186" s="18" t="str">
        <f t="shared" si="5"/>
        <v>COPAN, TRINIDAD DE COPAN, Honduras</v>
      </c>
    </row>
    <row r="187" spans="1:4" x14ac:dyDescent="0.3">
      <c r="A187" s="4" t="s">
        <v>859</v>
      </c>
      <c r="B187" s="4" t="s">
        <v>899</v>
      </c>
      <c r="C187" s="4" t="s">
        <v>976</v>
      </c>
      <c r="D187" s="18" t="str">
        <f t="shared" si="5"/>
        <v>ISLAS DE LA BAHIA, UTILA, Honduras</v>
      </c>
    </row>
    <row r="188" spans="1:4" x14ac:dyDescent="0.3">
      <c r="A188" s="4" t="s">
        <v>859</v>
      </c>
      <c r="B188" s="4" t="s">
        <v>866</v>
      </c>
      <c r="C188" s="4" t="s">
        <v>977</v>
      </c>
      <c r="D188" s="18" t="str">
        <f t="shared" si="5"/>
        <v>LEMPIRA, VALLADOLID, Honduras</v>
      </c>
    </row>
    <row r="189" spans="1:4" x14ac:dyDescent="0.3">
      <c r="A189" s="4" t="s">
        <v>859</v>
      </c>
      <c r="B189" s="4" t="s">
        <v>870</v>
      </c>
      <c r="C189" s="4" t="s">
        <v>978</v>
      </c>
      <c r="D189" s="18" t="str">
        <f t="shared" si="5"/>
        <v>COPAN, VERACRUZ, Honduras</v>
      </c>
    </row>
    <row r="190" spans="1:4" x14ac:dyDescent="0.3">
      <c r="A190" s="4" t="s">
        <v>859</v>
      </c>
      <c r="B190" s="4" t="s">
        <v>863</v>
      </c>
      <c r="C190" s="4" t="s">
        <v>624</v>
      </c>
      <c r="D190" s="18" t="str">
        <f t="shared" si="5"/>
        <v>YORO, VICTORIA, Honduras</v>
      </c>
    </row>
    <row r="191" spans="1:4" x14ac:dyDescent="0.3">
      <c r="A191" s="4" t="s">
        <v>859</v>
      </c>
      <c r="B191" s="4" t="s">
        <v>877</v>
      </c>
      <c r="C191" s="4" t="s">
        <v>979</v>
      </c>
      <c r="D191" s="18" t="str">
        <f t="shared" si="5"/>
        <v>CORTES, VILLANUEVA, Honduras</v>
      </c>
    </row>
    <row r="192" spans="1:4" x14ac:dyDescent="0.3">
      <c r="A192" s="4" t="s">
        <v>859</v>
      </c>
      <c r="B192" s="4" t="s">
        <v>866</v>
      </c>
      <c r="C192" s="4" t="s">
        <v>980</v>
      </c>
      <c r="D192" s="18" t="str">
        <f t="shared" si="5"/>
        <v>LEMPIRA, VIRGINIA, Honduras</v>
      </c>
    </row>
    <row r="193" spans="1:4" x14ac:dyDescent="0.3">
      <c r="A193" s="4" t="s">
        <v>859</v>
      </c>
      <c r="B193" s="4" t="s">
        <v>871</v>
      </c>
      <c r="C193" s="4" t="s">
        <v>981</v>
      </c>
      <c r="D193" s="18" t="str">
        <f t="shared" si="5"/>
        <v>INTIBUCA, YAMARANGUILA, Honduras</v>
      </c>
    </row>
    <row r="194" spans="1:4" x14ac:dyDescent="0.3">
      <c r="A194" s="4" t="s">
        <v>859</v>
      </c>
      <c r="B194" s="4" t="s">
        <v>566</v>
      </c>
      <c r="C194" s="4" t="s">
        <v>982</v>
      </c>
      <c r="D194" s="18" t="str">
        <f t="shared" ref="D194:D225" si="6">B194&amp;", "&amp;C194&amp;", Honduras"</f>
        <v>LA PAZ, YARULA, Honduras</v>
      </c>
    </row>
    <row r="195" spans="1:4" x14ac:dyDescent="0.3">
      <c r="A195" s="4" t="s">
        <v>859</v>
      </c>
      <c r="B195" s="4" t="s">
        <v>863</v>
      </c>
      <c r="C195" s="4" t="s">
        <v>983</v>
      </c>
      <c r="D195" s="18" t="str">
        <f t="shared" si="6"/>
        <v>YORO, YORITO, Honduras</v>
      </c>
    </row>
    <row r="196" spans="1:4" x14ac:dyDescent="0.3">
      <c r="A196" s="4" t="s">
        <v>984</v>
      </c>
      <c r="B196" s="4" t="s">
        <v>985</v>
      </c>
      <c r="C196" s="4" t="s">
        <v>986</v>
      </c>
      <c r="D196" s="18" t="str">
        <f t="shared" si="6"/>
        <v>ATLANTIDA, ESPARTA, Honduras</v>
      </c>
    </row>
    <row r="197" spans="1:4" x14ac:dyDescent="0.3">
      <c r="A197" s="4" t="s">
        <v>984</v>
      </c>
      <c r="B197" s="4" t="s">
        <v>35</v>
      </c>
      <c r="C197" s="4" t="s">
        <v>965</v>
      </c>
      <c r="D197" s="18" t="str">
        <f t="shared" ref="D197:D208" si="7">B197&amp;", "&amp;C197&amp;", Honduras"</f>
        <v>COLON, SANTA FE, Honduras</v>
      </c>
    </row>
    <row r="198" spans="1:4" x14ac:dyDescent="0.3">
      <c r="A198" s="4" t="s">
        <v>984</v>
      </c>
      <c r="B198" s="4" t="s">
        <v>35</v>
      </c>
      <c r="C198" s="4" t="s">
        <v>987</v>
      </c>
      <c r="D198" s="18" t="str">
        <f t="shared" si="7"/>
        <v>COLON, IRIONA, Honduras</v>
      </c>
    </row>
    <row r="199" spans="1:4" x14ac:dyDescent="0.3">
      <c r="A199" s="4" t="s">
        <v>984</v>
      </c>
      <c r="B199" s="4" t="s">
        <v>35</v>
      </c>
      <c r="C199" s="4" t="s">
        <v>988</v>
      </c>
      <c r="D199" s="18" t="str">
        <f t="shared" si="7"/>
        <v>COLON, LIMON, Honduras</v>
      </c>
    </row>
    <row r="200" spans="1:4" x14ac:dyDescent="0.3">
      <c r="A200" s="4" t="s">
        <v>984</v>
      </c>
      <c r="B200" s="4" t="s">
        <v>35</v>
      </c>
      <c r="C200" s="4" t="s">
        <v>989</v>
      </c>
      <c r="D200" s="18" t="str">
        <f t="shared" si="7"/>
        <v>COLON, SANTA ROSA DE AGUAN, Honduras</v>
      </c>
    </row>
    <row r="201" spans="1:4" x14ac:dyDescent="0.3">
      <c r="A201" s="4" t="s">
        <v>984</v>
      </c>
      <c r="B201" s="4" t="s">
        <v>985</v>
      </c>
      <c r="C201" s="4" t="s">
        <v>990</v>
      </c>
      <c r="D201" s="18" t="str">
        <f t="shared" si="7"/>
        <v>ATLANTIDA, ARIZONA, Honduras</v>
      </c>
    </row>
    <row r="202" spans="1:4" x14ac:dyDescent="0.3">
      <c r="A202" s="4" t="s">
        <v>984</v>
      </c>
      <c r="B202" s="4" t="s">
        <v>35</v>
      </c>
      <c r="C202" s="4" t="s">
        <v>991</v>
      </c>
      <c r="D202" s="18" t="str">
        <f t="shared" si="7"/>
        <v>COLON, BONITO ORIENTAL, Honduras</v>
      </c>
    </row>
    <row r="203" spans="1:4" x14ac:dyDescent="0.3">
      <c r="A203" s="4" t="s">
        <v>984</v>
      </c>
      <c r="B203" s="4" t="s">
        <v>35</v>
      </c>
      <c r="C203" s="4" t="s">
        <v>992</v>
      </c>
      <c r="D203" s="18" t="str">
        <f t="shared" si="7"/>
        <v>COLON, BALFATE, Honduras</v>
      </c>
    </row>
    <row r="204" spans="1:4" x14ac:dyDescent="0.3">
      <c r="A204" s="4" t="s">
        <v>984</v>
      </c>
      <c r="B204" s="4" t="s">
        <v>985</v>
      </c>
      <c r="C204" s="4" t="s">
        <v>993</v>
      </c>
      <c r="D204" s="18" t="str">
        <f t="shared" si="7"/>
        <v>ATLANTIDA, LA MASICA, Honduras</v>
      </c>
    </row>
    <row r="205" spans="1:4" x14ac:dyDescent="0.3">
      <c r="A205" s="4" t="s">
        <v>984</v>
      </c>
      <c r="B205" s="4" t="s">
        <v>35</v>
      </c>
      <c r="C205" s="4" t="s">
        <v>994</v>
      </c>
      <c r="D205" s="18" t="str">
        <f t="shared" si="7"/>
        <v>COLON, TOCOA, Honduras</v>
      </c>
    </row>
    <row r="206" spans="1:4" x14ac:dyDescent="0.3">
      <c r="A206" s="4" t="s">
        <v>984</v>
      </c>
      <c r="B206" s="4" t="s">
        <v>35</v>
      </c>
      <c r="C206" s="4" t="s">
        <v>995</v>
      </c>
      <c r="D206" s="18" t="str">
        <f t="shared" si="7"/>
        <v>COLON, TRUJILLO, Honduras</v>
      </c>
    </row>
    <row r="207" spans="1:4" x14ac:dyDescent="0.3">
      <c r="A207" s="4" t="s">
        <v>984</v>
      </c>
      <c r="B207" s="4" t="s">
        <v>35</v>
      </c>
      <c r="C207" s="4" t="s">
        <v>996</v>
      </c>
      <c r="D207" s="18" t="str">
        <f t="shared" si="7"/>
        <v>COLON, SABA, Honduras</v>
      </c>
    </row>
    <row r="208" spans="1:4" x14ac:dyDescent="0.3">
      <c r="A208" s="4" t="s">
        <v>984</v>
      </c>
      <c r="B208" s="4" t="s">
        <v>985</v>
      </c>
      <c r="C208" s="4" t="s">
        <v>997</v>
      </c>
      <c r="D208" s="18" t="str">
        <f t="shared" si="7"/>
        <v>ATLANTIDA, TELA, Honduras</v>
      </c>
    </row>
    <row r="209" spans="1:4" x14ac:dyDescent="0.3">
      <c r="A209" s="4" t="s">
        <v>859</v>
      </c>
      <c r="B209" s="4" t="s">
        <v>863</v>
      </c>
      <c r="C209" s="4" t="s">
        <v>863</v>
      </c>
      <c r="D209" s="18" t="str">
        <f>B209&amp;", "&amp;C209&amp;", Honduras"</f>
        <v>YORO, YORO, Honduras</v>
      </c>
    </row>
    <row r="210" spans="1:4" x14ac:dyDescent="0.3">
      <c r="A210" s="4" t="s">
        <v>984</v>
      </c>
      <c r="B210" s="4" t="s">
        <v>985</v>
      </c>
      <c r="C210" s="4" t="s">
        <v>998</v>
      </c>
      <c r="D210" s="18" t="str">
        <f t="shared" ref="D210:D214" si="8">B210&amp;", "&amp;C210&amp;", Honduras"</f>
        <v>ATLANTIDA, LA CEIBA, Honduras</v>
      </c>
    </row>
    <row r="211" spans="1:4" x14ac:dyDescent="0.3">
      <c r="A211" s="4" t="s">
        <v>984</v>
      </c>
      <c r="B211" s="4" t="s">
        <v>35</v>
      </c>
      <c r="C211" s="4" t="s">
        <v>999</v>
      </c>
      <c r="D211" s="18" t="str">
        <f t="shared" si="8"/>
        <v>COLON, SONAGUERA, Honduras</v>
      </c>
    </row>
    <row r="212" spans="1:4" x14ac:dyDescent="0.3">
      <c r="A212" s="4" t="s">
        <v>984</v>
      </c>
      <c r="B212" s="4" t="s">
        <v>985</v>
      </c>
      <c r="C212" s="4" t="s">
        <v>620</v>
      </c>
      <c r="D212" s="18" t="str">
        <f t="shared" si="8"/>
        <v>ATLANTIDA, JUTIAPA, Honduras</v>
      </c>
    </row>
    <row r="213" spans="1:4" x14ac:dyDescent="0.3">
      <c r="A213" s="4" t="s">
        <v>984</v>
      </c>
      <c r="B213" s="4" t="s">
        <v>985</v>
      </c>
      <c r="C213" s="4" t="s">
        <v>487</v>
      </c>
      <c r="D213" s="18" t="str">
        <f t="shared" si="8"/>
        <v>ATLANTIDA, EL PORVENIR, Honduras</v>
      </c>
    </row>
    <row r="214" spans="1:4" x14ac:dyDescent="0.3">
      <c r="A214" s="4" t="s">
        <v>984</v>
      </c>
      <c r="B214" s="4" t="s">
        <v>985</v>
      </c>
      <c r="C214" s="4" t="s">
        <v>18</v>
      </c>
      <c r="D214" s="18" t="str">
        <f t="shared" si="8"/>
        <v>ATLANTIDA, SAN FRANCISCO, Honduras</v>
      </c>
    </row>
    <row r="215" spans="1:4" x14ac:dyDescent="0.3">
      <c r="A215" s="4" t="s">
        <v>1000</v>
      </c>
      <c r="B215" s="4" t="s">
        <v>1001</v>
      </c>
      <c r="C215" s="4" t="s">
        <v>1002</v>
      </c>
      <c r="D215" s="18" t="str">
        <f t="shared" ref="D215:D246" si="9">B215&amp;", "&amp;C215&amp;", Honduras"</f>
        <v>CHOLUTECA, APACILAGUA, Honduras</v>
      </c>
    </row>
    <row r="216" spans="1:4" x14ac:dyDescent="0.3">
      <c r="A216" s="4" t="s">
        <v>1000</v>
      </c>
      <c r="B216" s="4" t="s">
        <v>1001</v>
      </c>
      <c r="C216" s="4" t="s">
        <v>1003</v>
      </c>
      <c r="D216" s="18" t="str">
        <f t="shared" si="9"/>
        <v>CHOLUTECA, CONCEPCION DE MARIA, Honduras</v>
      </c>
    </row>
    <row r="217" spans="1:4" x14ac:dyDescent="0.3">
      <c r="A217" s="4" t="s">
        <v>1000</v>
      </c>
      <c r="B217" s="4" t="s">
        <v>1001</v>
      </c>
      <c r="C217" s="4" t="s">
        <v>1004</v>
      </c>
      <c r="D217" s="18" t="str">
        <f t="shared" si="9"/>
        <v>CHOLUTECA, EL CORPUS, Honduras</v>
      </c>
    </row>
    <row r="218" spans="1:4" x14ac:dyDescent="0.3">
      <c r="A218" s="4" t="s">
        <v>1000</v>
      </c>
      <c r="B218" s="4" t="s">
        <v>1001</v>
      </c>
      <c r="C218" s="4" t="s">
        <v>1005</v>
      </c>
      <c r="D218" s="18" t="str">
        <f t="shared" si="9"/>
        <v>CHOLUTECA, MOROLICA, Honduras</v>
      </c>
    </row>
    <row r="219" spans="1:4" x14ac:dyDescent="0.3">
      <c r="A219" s="4" t="s">
        <v>1000</v>
      </c>
      <c r="B219" s="4" t="s">
        <v>1001</v>
      </c>
      <c r="C219" s="4" t="s">
        <v>1006</v>
      </c>
      <c r="D219" s="18" t="str">
        <f t="shared" si="9"/>
        <v>CHOLUTECA, SAN ANTONIO DE FLORES, Honduras</v>
      </c>
    </row>
    <row r="220" spans="1:4" x14ac:dyDescent="0.3">
      <c r="A220" s="4" t="s">
        <v>1000</v>
      </c>
      <c r="B220" s="4" t="s">
        <v>1001</v>
      </c>
      <c r="C220" s="4" t="s">
        <v>621</v>
      </c>
      <c r="D220" s="18" t="str">
        <f t="shared" si="9"/>
        <v>CHOLUTECA, SAN ISIDRO, Honduras</v>
      </c>
    </row>
    <row r="221" spans="1:4" x14ac:dyDescent="0.3">
      <c r="A221" s="4" t="s">
        <v>1000</v>
      </c>
      <c r="B221" s="4" t="s">
        <v>1001</v>
      </c>
      <c r="C221" s="4" t="s">
        <v>671</v>
      </c>
      <c r="D221" s="18" t="str">
        <f t="shared" si="9"/>
        <v>CHOLUTECA, SAN JOSE, Honduras</v>
      </c>
    </row>
    <row r="222" spans="1:4" x14ac:dyDescent="0.3">
      <c r="A222" s="4" t="s">
        <v>1000</v>
      </c>
      <c r="B222" s="4" t="s">
        <v>635</v>
      </c>
      <c r="C222" s="4" t="s">
        <v>1007</v>
      </c>
      <c r="D222" s="18" t="str">
        <f t="shared" si="9"/>
        <v>EL PARAISO, ALAUCA, Honduras</v>
      </c>
    </row>
    <row r="223" spans="1:4" x14ac:dyDescent="0.3">
      <c r="A223" s="4" t="s">
        <v>1000</v>
      </c>
      <c r="B223" s="4" t="s">
        <v>635</v>
      </c>
      <c r="C223" s="4" t="s">
        <v>1008</v>
      </c>
      <c r="D223" s="18" t="str">
        <f t="shared" si="9"/>
        <v>EL PARAISO, LIURE, Honduras</v>
      </c>
    </row>
    <row r="224" spans="1:4" x14ac:dyDescent="0.3">
      <c r="A224" s="4" t="s">
        <v>1000</v>
      </c>
      <c r="B224" s="4" t="s">
        <v>635</v>
      </c>
      <c r="C224" s="4" t="s">
        <v>1009</v>
      </c>
      <c r="D224" s="18" t="str">
        <f t="shared" si="9"/>
        <v>EL PARAISO, OROPOLI, Honduras</v>
      </c>
    </row>
    <row r="225" spans="1:4" x14ac:dyDescent="0.3">
      <c r="A225" s="4" t="s">
        <v>1000</v>
      </c>
      <c r="B225" s="4" t="s">
        <v>635</v>
      </c>
      <c r="C225" s="4" t="s">
        <v>937</v>
      </c>
      <c r="D225" s="18" t="str">
        <f t="shared" si="9"/>
        <v>EL PARAISO, POTRERILLOS, Honduras</v>
      </c>
    </row>
    <row r="226" spans="1:4" x14ac:dyDescent="0.3">
      <c r="A226" s="4" t="s">
        <v>1000</v>
      </c>
      <c r="B226" s="4" t="s">
        <v>635</v>
      </c>
      <c r="C226" s="4" t="s">
        <v>1006</v>
      </c>
      <c r="D226" s="18" t="str">
        <f t="shared" si="9"/>
        <v>EL PARAISO, SAN ANTONIO DE FLORES, Honduras</v>
      </c>
    </row>
    <row r="227" spans="1:4" x14ac:dyDescent="0.3">
      <c r="A227" s="4" t="s">
        <v>1000</v>
      </c>
      <c r="B227" s="4" t="s">
        <v>635</v>
      </c>
      <c r="C227" s="4" t="s">
        <v>572</v>
      </c>
      <c r="D227" s="18" t="str">
        <f t="shared" si="9"/>
        <v>EL PARAISO, SAN MATIAS, Honduras</v>
      </c>
    </row>
    <row r="228" spans="1:4" x14ac:dyDescent="0.3">
      <c r="A228" s="4" t="s">
        <v>1000</v>
      </c>
      <c r="B228" s="4" t="s">
        <v>635</v>
      </c>
      <c r="C228" s="4" t="s">
        <v>1010</v>
      </c>
      <c r="D228" s="18" t="str">
        <f t="shared" si="9"/>
        <v>EL PARAISO, SOLEDAD, Honduras</v>
      </c>
    </row>
    <row r="229" spans="1:4" x14ac:dyDescent="0.3">
      <c r="A229" s="4" t="s">
        <v>1000</v>
      </c>
      <c r="B229" s="4" t="s">
        <v>635</v>
      </c>
      <c r="C229" s="4" t="s">
        <v>1011</v>
      </c>
      <c r="D229" s="18" t="str">
        <f t="shared" si="9"/>
        <v>EL PARAISO, TEXIGUAT, Honduras</v>
      </c>
    </row>
    <row r="230" spans="1:4" x14ac:dyDescent="0.3">
      <c r="A230" s="4" t="s">
        <v>1000</v>
      </c>
      <c r="B230" s="4" t="s">
        <v>635</v>
      </c>
      <c r="C230" s="4" t="s">
        <v>1012</v>
      </c>
      <c r="D230" s="18" t="str">
        <f t="shared" si="9"/>
        <v>EL PARAISO, VADO ANCHO, Honduras</v>
      </c>
    </row>
    <row r="231" spans="1:4" x14ac:dyDescent="0.3">
      <c r="A231" s="4" t="s">
        <v>1000</v>
      </c>
      <c r="B231" s="4" t="s">
        <v>635</v>
      </c>
      <c r="C231" s="4" t="s">
        <v>1013</v>
      </c>
      <c r="D231" s="18" t="str">
        <f t="shared" si="9"/>
        <v>EL PARAISO, YAUYUPE, Honduras</v>
      </c>
    </row>
    <row r="232" spans="1:4" x14ac:dyDescent="0.3">
      <c r="A232" s="4" t="s">
        <v>1000</v>
      </c>
      <c r="B232" s="4" t="s">
        <v>1014</v>
      </c>
      <c r="C232" s="4" t="s">
        <v>564</v>
      </c>
      <c r="D232" s="18" t="str">
        <f t="shared" si="9"/>
        <v>OLANCHO, EL ROSARIO, Honduras</v>
      </c>
    </row>
    <row r="233" spans="1:4" x14ac:dyDescent="0.3">
      <c r="A233" s="4" t="s">
        <v>1000</v>
      </c>
      <c r="B233" s="4" t="s">
        <v>1014</v>
      </c>
      <c r="C233" s="4" t="s">
        <v>1015</v>
      </c>
      <c r="D233" s="18" t="str">
        <f t="shared" si="9"/>
        <v>OLANCHO, ESQUIPULAS DEL NORTE, Honduras</v>
      </c>
    </row>
    <row r="234" spans="1:4" x14ac:dyDescent="0.3">
      <c r="A234" s="4" t="s">
        <v>1000</v>
      </c>
      <c r="B234" s="4" t="s">
        <v>1014</v>
      </c>
      <c r="C234" s="4" t="s">
        <v>1016</v>
      </c>
      <c r="D234" s="18" t="str">
        <f t="shared" si="9"/>
        <v>OLANCHO, GUATA, Honduras</v>
      </c>
    </row>
    <row r="235" spans="1:4" x14ac:dyDescent="0.3">
      <c r="A235" s="4" t="s">
        <v>1000</v>
      </c>
      <c r="B235" s="4" t="s">
        <v>1014</v>
      </c>
      <c r="C235" s="4" t="s">
        <v>1017</v>
      </c>
      <c r="D235" s="18" t="str">
        <f t="shared" si="9"/>
        <v>OLANCHO, JANO, Honduras</v>
      </c>
    </row>
    <row r="236" spans="1:4" x14ac:dyDescent="0.3">
      <c r="A236" s="4" t="s">
        <v>1000</v>
      </c>
      <c r="B236" s="4" t="s">
        <v>1014</v>
      </c>
      <c r="C236" s="4" t="s">
        <v>1018</v>
      </c>
      <c r="D236" s="18" t="str">
        <f t="shared" si="9"/>
        <v>OLANCHO, MANTO, Honduras</v>
      </c>
    </row>
    <row r="237" spans="1:4" x14ac:dyDescent="0.3">
      <c r="A237" s="4" t="s">
        <v>1000</v>
      </c>
      <c r="B237" s="4" t="s">
        <v>1014</v>
      </c>
      <c r="C237" s="4" t="s">
        <v>1019</v>
      </c>
      <c r="D237" s="18" t="str">
        <f t="shared" si="9"/>
        <v>OLANCHO, SILCA, Honduras</v>
      </c>
    </row>
    <row r="238" spans="1:4" x14ac:dyDescent="0.3">
      <c r="A238" s="4" t="s">
        <v>1000</v>
      </c>
      <c r="B238" s="4" t="s">
        <v>1014</v>
      </c>
      <c r="C238" s="4" t="s">
        <v>1020</v>
      </c>
      <c r="D238" s="18" t="str">
        <f t="shared" si="9"/>
        <v>OLANCHO, YOCON, Honduras</v>
      </c>
    </row>
    <row r="239" spans="1:4" x14ac:dyDescent="0.3">
      <c r="A239" s="4" t="s">
        <v>1000</v>
      </c>
      <c r="B239" s="4" t="s">
        <v>1021</v>
      </c>
      <c r="C239" s="4" t="s">
        <v>1022</v>
      </c>
      <c r="D239" s="18" t="str">
        <f t="shared" si="9"/>
        <v>VALLE, ALIANZA, Honduras</v>
      </c>
    </row>
    <row r="240" spans="1:4" x14ac:dyDescent="0.3">
      <c r="A240" s="4" t="s">
        <v>1000</v>
      </c>
      <c r="B240" s="4" t="s">
        <v>1021</v>
      </c>
      <c r="C240" s="4" t="s">
        <v>1023</v>
      </c>
      <c r="D240" s="18" t="str">
        <f t="shared" si="9"/>
        <v>VALLE, ARAMECINA, Honduras</v>
      </c>
    </row>
    <row r="241" spans="1:4" x14ac:dyDescent="0.3">
      <c r="A241" s="4" t="s">
        <v>1000</v>
      </c>
      <c r="B241" s="4" t="s">
        <v>1021</v>
      </c>
      <c r="C241" s="4" t="s">
        <v>1024</v>
      </c>
      <c r="D241" s="18" t="str">
        <f t="shared" si="9"/>
        <v>VALLE, CARIDAD, Honduras</v>
      </c>
    </row>
    <row r="242" spans="1:4" x14ac:dyDescent="0.3">
      <c r="A242" s="4" t="s">
        <v>1000</v>
      </c>
      <c r="B242" s="4" t="s">
        <v>1001</v>
      </c>
      <c r="C242" s="4" t="s">
        <v>1025</v>
      </c>
      <c r="D242" s="18" t="str">
        <f t="shared" si="9"/>
        <v>CHOLUTECA, NAMASIGUE, Honduras</v>
      </c>
    </row>
    <row r="243" spans="1:4" x14ac:dyDescent="0.3">
      <c r="A243" s="4" t="s">
        <v>1000</v>
      </c>
      <c r="B243" s="4" t="s">
        <v>1001</v>
      </c>
      <c r="C243" s="4" t="s">
        <v>1026</v>
      </c>
      <c r="D243" s="18" t="str">
        <f t="shared" si="9"/>
        <v>CHOLUTECA, MARCOVIA, Honduras</v>
      </c>
    </row>
    <row r="244" spans="1:4" x14ac:dyDescent="0.3">
      <c r="A244" s="4" t="s">
        <v>1000</v>
      </c>
      <c r="B244" s="4" t="s">
        <v>1001</v>
      </c>
      <c r="C244" s="4" t="s">
        <v>723</v>
      </c>
      <c r="D244" s="18" t="str">
        <f t="shared" si="9"/>
        <v>CHOLUTECA, EL TRIUNFO, Honduras</v>
      </c>
    </row>
    <row r="245" spans="1:4" x14ac:dyDescent="0.3">
      <c r="A245" s="4" t="s">
        <v>1000</v>
      </c>
      <c r="B245" s="4" t="s">
        <v>1021</v>
      </c>
      <c r="C245" s="4" t="s">
        <v>1027</v>
      </c>
      <c r="D245" s="18" t="str">
        <f t="shared" si="9"/>
        <v>VALLE, SAN FRANCISCO DE CORAY, Honduras</v>
      </c>
    </row>
    <row r="246" spans="1:4" x14ac:dyDescent="0.3">
      <c r="A246" s="4" t="s">
        <v>1000</v>
      </c>
      <c r="B246" s="4" t="s">
        <v>1001</v>
      </c>
      <c r="C246" s="4" t="s">
        <v>1028</v>
      </c>
      <c r="D246" s="18" t="str">
        <f t="shared" si="9"/>
        <v>CHOLUTECA, SANTA ANA DE YUSGUARE, Honduras</v>
      </c>
    </row>
    <row r="247" spans="1:4" x14ac:dyDescent="0.3">
      <c r="A247" s="4" t="s">
        <v>1000</v>
      </c>
      <c r="B247" s="4" t="s">
        <v>635</v>
      </c>
      <c r="C247" s="4" t="s">
        <v>1029</v>
      </c>
      <c r="D247" s="18" t="str">
        <f t="shared" ref="D247:D278" si="10">B247&amp;", "&amp;C247&amp;", Honduras"</f>
        <v>EL PARAISO, SAN LUCAS, Honduras</v>
      </c>
    </row>
    <row r="248" spans="1:4" x14ac:dyDescent="0.3">
      <c r="A248" s="4" t="s">
        <v>1000</v>
      </c>
      <c r="B248" s="4" t="s">
        <v>1014</v>
      </c>
      <c r="C248" s="4" t="s">
        <v>1030</v>
      </c>
      <c r="D248" s="18" t="str">
        <f t="shared" si="10"/>
        <v>OLANCHO, SAN FRANCISCO DE BECERRA, Honduras</v>
      </c>
    </row>
    <row r="249" spans="1:4" x14ac:dyDescent="0.3">
      <c r="A249" s="4" t="s">
        <v>1000</v>
      </c>
      <c r="B249" s="4" t="s">
        <v>1021</v>
      </c>
      <c r="C249" s="4" t="s">
        <v>496</v>
      </c>
      <c r="D249" s="18" t="str">
        <f t="shared" si="10"/>
        <v>VALLE, SAN LORENZO, Honduras</v>
      </c>
    </row>
    <row r="250" spans="1:4" x14ac:dyDescent="0.3">
      <c r="A250" s="4" t="s">
        <v>1000</v>
      </c>
      <c r="B250" s="4" t="s">
        <v>1014</v>
      </c>
      <c r="C250" s="4" t="s">
        <v>1031</v>
      </c>
      <c r="D250" s="18" t="str">
        <f t="shared" si="10"/>
        <v>OLANCHO, GUAYAPE, Honduras</v>
      </c>
    </row>
    <row r="251" spans="1:4" x14ac:dyDescent="0.3">
      <c r="A251" s="4" t="s">
        <v>1000</v>
      </c>
      <c r="B251" s="4" t="s">
        <v>1014</v>
      </c>
      <c r="C251" s="4" t="s">
        <v>1032</v>
      </c>
      <c r="D251" s="18" t="str">
        <f t="shared" si="10"/>
        <v>OLANCHO, GUARIZAMA, Honduras</v>
      </c>
    </row>
    <row r="252" spans="1:4" x14ac:dyDescent="0.3">
      <c r="A252" s="4" t="s">
        <v>1000</v>
      </c>
      <c r="B252" s="4" t="s">
        <v>635</v>
      </c>
      <c r="C252" s="4" t="s">
        <v>1033</v>
      </c>
      <c r="D252" s="18" t="str">
        <f t="shared" si="10"/>
        <v>EL PARAISO, MOROCELI, Honduras</v>
      </c>
    </row>
    <row r="253" spans="1:4" x14ac:dyDescent="0.3">
      <c r="A253" s="4" t="s">
        <v>1000</v>
      </c>
      <c r="B253" s="4" t="s">
        <v>1021</v>
      </c>
      <c r="C253" s="4" t="s">
        <v>1034</v>
      </c>
      <c r="D253" s="18" t="str">
        <f t="shared" si="10"/>
        <v>VALLE, AMAPALA, Honduras</v>
      </c>
    </row>
    <row r="254" spans="1:4" x14ac:dyDescent="0.3">
      <c r="A254" s="4" t="s">
        <v>1000</v>
      </c>
      <c r="B254" s="4" t="s">
        <v>1014</v>
      </c>
      <c r="C254" s="4" t="s">
        <v>1035</v>
      </c>
      <c r="D254" s="18" t="str">
        <f t="shared" si="10"/>
        <v>OLANCHO, SANTA MARIA DEL REAL, Honduras</v>
      </c>
    </row>
    <row r="255" spans="1:4" x14ac:dyDescent="0.3">
      <c r="A255" s="4" t="s">
        <v>1000</v>
      </c>
      <c r="B255" s="4" t="s">
        <v>1001</v>
      </c>
      <c r="C255" s="4" t="s">
        <v>1036</v>
      </c>
      <c r="D255" s="18" t="str">
        <f t="shared" si="10"/>
        <v>CHOLUTECA, DUYURE, Honduras</v>
      </c>
    </row>
    <row r="256" spans="1:4" x14ac:dyDescent="0.3">
      <c r="A256" s="4" t="s">
        <v>1000</v>
      </c>
      <c r="B256" s="4" t="s">
        <v>1014</v>
      </c>
      <c r="C256" s="4" t="s">
        <v>1037</v>
      </c>
      <c r="D256" s="18" t="str">
        <f t="shared" si="10"/>
        <v>OLANCHO, CONCORDIA, Honduras</v>
      </c>
    </row>
    <row r="257" spans="1:4" x14ac:dyDescent="0.3">
      <c r="A257" s="4" t="s">
        <v>1000</v>
      </c>
      <c r="B257" s="4" t="s">
        <v>1014</v>
      </c>
      <c r="C257" s="4" t="s">
        <v>1038</v>
      </c>
      <c r="D257" s="18" t="str">
        <f t="shared" si="10"/>
        <v>OLANCHO, DULCE NOMBRE DE CULMI, Honduras</v>
      </c>
    </row>
    <row r="258" spans="1:4" x14ac:dyDescent="0.3">
      <c r="A258" s="4" t="s">
        <v>1000</v>
      </c>
      <c r="B258" s="4" t="s">
        <v>1021</v>
      </c>
      <c r="C258" s="4" t="s">
        <v>1039</v>
      </c>
      <c r="D258" s="18" t="str">
        <f t="shared" si="10"/>
        <v>VALLE, NACAOME, Honduras</v>
      </c>
    </row>
    <row r="259" spans="1:4" x14ac:dyDescent="0.3">
      <c r="A259" s="4" t="s">
        <v>1000</v>
      </c>
      <c r="B259" s="4" t="s">
        <v>1014</v>
      </c>
      <c r="C259" s="4" t="s">
        <v>1040</v>
      </c>
      <c r="D259" s="18" t="str">
        <f t="shared" si="10"/>
        <v>OLANCHO, SALAMA, Honduras</v>
      </c>
    </row>
    <row r="260" spans="1:4" x14ac:dyDescent="0.3">
      <c r="A260" s="4" t="s">
        <v>1000</v>
      </c>
      <c r="B260" s="4" t="s">
        <v>1014</v>
      </c>
      <c r="C260" s="4" t="s">
        <v>658</v>
      </c>
      <c r="D260" s="18" t="str">
        <f t="shared" si="10"/>
        <v>OLANCHO, LA UNION, Honduras</v>
      </c>
    </row>
    <row r="261" spans="1:4" x14ac:dyDescent="0.3">
      <c r="A261" s="4" t="s">
        <v>1000</v>
      </c>
      <c r="B261" s="4" t="s">
        <v>635</v>
      </c>
      <c r="C261" s="4" t="s">
        <v>1041</v>
      </c>
      <c r="D261" s="18" t="str">
        <f t="shared" si="10"/>
        <v>EL PARAISO, YUSCARAN, Honduras</v>
      </c>
    </row>
    <row r="262" spans="1:4" x14ac:dyDescent="0.3">
      <c r="A262" s="4" t="s">
        <v>1000</v>
      </c>
      <c r="B262" s="4" t="s">
        <v>1014</v>
      </c>
      <c r="C262" s="4" t="s">
        <v>1042</v>
      </c>
      <c r="D262" s="18" t="str">
        <f t="shared" si="10"/>
        <v>OLANCHO, Campamento, Honduras</v>
      </c>
    </row>
    <row r="263" spans="1:4" x14ac:dyDescent="0.3">
      <c r="A263" s="4" t="s">
        <v>1000</v>
      </c>
      <c r="B263" s="4" t="s">
        <v>1014</v>
      </c>
      <c r="C263" s="4" t="s">
        <v>1043</v>
      </c>
      <c r="D263" s="18" t="str">
        <f t="shared" si="10"/>
        <v>OLANCHO, MANGULILE, Honduras</v>
      </c>
    </row>
    <row r="264" spans="1:4" x14ac:dyDescent="0.3">
      <c r="A264" s="4" t="s">
        <v>1000</v>
      </c>
      <c r="B264" s="4" t="s">
        <v>1014</v>
      </c>
      <c r="C264" s="4" t="s">
        <v>1044</v>
      </c>
      <c r="D264" s="18" t="str">
        <f t="shared" si="10"/>
        <v>OLANCHO, SAN FRANCISCO DE LA PAZ, Honduras</v>
      </c>
    </row>
    <row r="265" spans="1:4" x14ac:dyDescent="0.3">
      <c r="A265" s="4" t="s">
        <v>1000</v>
      </c>
      <c r="B265" s="4" t="s">
        <v>1014</v>
      </c>
      <c r="C265" s="4" t="s">
        <v>1045</v>
      </c>
      <c r="D265" s="18" t="str">
        <f t="shared" si="10"/>
        <v>OLANCHO, PATUCA, Honduras</v>
      </c>
    </row>
    <row r="266" spans="1:4" x14ac:dyDescent="0.3">
      <c r="A266" s="4" t="s">
        <v>1000</v>
      </c>
      <c r="B266" s="4" t="s">
        <v>635</v>
      </c>
      <c r="C266" s="4" t="s">
        <v>1046</v>
      </c>
      <c r="D266" s="18" t="str">
        <f t="shared" si="10"/>
        <v>EL PARAISO, TROJES, Honduras</v>
      </c>
    </row>
    <row r="267" spans="1:4" x14ac:dyDescent="0.3">
      <c r="A267" s="4" t="s">
        <v>1000</v>
      </c>
      <c r="B267" s="4" t="s">
        <v>635</v>
      </c>
      <c r="C267" s="4" t="s">
        <v>1047</v>
      </c>
      <c r="D267" s="18" t="str">
        <f t="shared" si="10"/>
        <v>EL PARAISO, GUINOPE, Honduras</v>
      </c>
    </row>
    <row r="268" spans="1:4" x14ac:dyDescent="0.3">
      <c r="A268" s="4" t="s">
        <v>1000</v>
      </c>
      <c r="B268" s="4" t="s">
        <v>1014</v>
      </c>
      <c r="C268" s="4" t="s">
        <v>1048</v>
      </c>
      <c r="D268" s="18" t="str">
        <f t="shared" si="10"/>
        <v>OLANCHO, CATACAMAS, Honduras</v>
      </c>
    </row>
    <row r="269" spans="1:4" x14ac:dyDescent="0.3">
      <c r="A269" s="4" t="s">
        <v>1000</v>
      </c>
      <c r="B269" s="4" t="s">
        <v>1014</v>
      </c>
      <c r="C269" s="4" t="s">
        <v>1049</v>
      </c>
      <c r="D269" s="18" t="str">
        <f t="shared" si="10"/>
        <v>OLANCHO, SAN ESTEBAN, Honduras</v>
      </c>
    </row>
    <row r="270" spans="1:4" x14ac:dyDescent="0.3">
      <c r="A270" s="4" t="s">
        <v>1000</v>
      </c>
      <c r="B270" s="4" t="s">
        <v>1014</v>
      </c>
      <c r="C270" s="4" t="s">
        <v>1050</v>
      </c>
      <c r="D270" s="18" t="str">
        <f t="shared" si="10"/>
        <v>OLANCHO, JUTICALPA, Honduras</v>
      </c>
    </row>
    <row r="271" spans="1:4" x14ac:dyDescent="0.3">
      <c r="A271" s="4" t="s">
        <v>1000</v>
      </c>
      <c r="B271" s="4" t="s">
        <v>1001</v>
      </c>
      <c r="C271" s="4" t="s">
        <v>1001</v>
      </c>
      <c r="D271" s="18" t="str">
        <f t="shared" si="10"/>
        <v>CHOLUTECA, CHOLUTECA, Honduras</v>
      </c>
    </row>
    <row r="272" spans="1:4" x14ac:dyDescent="0.3">
      <c r="A272" s="4" t="s">
        <v>1000</v>
      </c>
      <c r="B272" s="4" t="s">
        <v>635</v>
      </c>
      <c r="C272" s="4" t="s">
        <v>635</v>
      </c>
      <c r="D272" s="18" t="str">
        <f t="shared" si="10"/>
        <v>EL PARAISO, EL PARAISO, Honduras</v>
      </c>
    </row>
    <row r="273" spans="1:4" x14ac:dyDescent="0.3">
      <c r="A273" s="4" t="s">
        <v>1000</v>
      </c>
      <c r="B273" s="4" t="s">
        <v>1021</v>
      </c>
      <c r="C273" s="4" t="s">
        <v>1051</v>
      </c>
      <c r="D273" s="18" t="str">
        <f t="shared" si="10"/>
        <v>VALLE, LANGUE, Honduras</v>
      </c>
    </row>
    <row r="274" spans="1:4" x14ac:dyDescent="0.3">
      <c r="A274" s="4" t="s">
        <v>1000</v>
      </c>
      <c r="B274" s="4" t="s">
        <v>1001</v>
      </c>
      <c r="C274" s="4" t="s">
        <v>1052</v>
      </c>
      <c r="D274" s="18" t="str">
        <f t="shared" si="10"/>
        <v>CHOLUTECA, SAN MARCOS DE COLON, Honduras</v>
      </c>
    </row>
    <row r="275" spans="1:4" x14ac:dyDescent="0.3">
      <c r="A275" s="4" t="s">
        <v>1000</v>
      </c>
      <c r="B275" s="4" t="s">
        <v>1014</v>
      </c>
      <c r="C275" s="4" t="s">
        <v>1053</v>
      </c>
      <c r="D275" s="18" t="str">
        <f t="shared" si="10"/>
        <v>OLANCHO, GUALACO, Honduras</v>
      </c>
    </row>
    <row r="276" spans="1:4" x14ac:dyDescent="0.3">
      <c r="A276" s="4" t="s">
        <v>1000</v>
      </c>
      <c r="B276" s="4" t="s">
        <v>635</v>
      </c>
      <c r="C276" s="4" t="s">
        <v>1054</v>
      </c>
      <c r="D276" s="18" t="str">
        <f t="shared" si="10"/>
        <v>EL PARAISO, JACALEAPA, Honduras</v>
      </c>
    </row>
    <row r="277" spans="1:4" x14ac:dyDescent="0.3">
      <c r="A277" s="4" t="s">
        <v>1000</v>
      </c>
      <c r="B277" s="4" t="s">
        <v>635</v>
      </c>
      <c r="C277" s="4" t="s">
        <v>1055</v>
      </c>
      <c r="D277" s="18" t="str">
        <f t="shared" si="10"/>
        <v>EL PARAISO, TEUPASENTI, Honduras</v>
      </c>
    </row>
    <row r="278" spans="1:4" x14ac:dyDescent="0.3">
      <c r="A278" s="4" t="s">
        <v>1000</v>
      </c>
      <c r="B278" s="4" t="s">
        <v>635</v>
      </c>
      <c r="C278" s="4" t="s">
        <v>1056</v>
      </c>
      <c r="D278" s="18" t="str">
        <f t="shared" si="10"/>
        <v>EL PARAISO, DANLI, Honduras</v>
      </c>
    </row>
    <row r="279" spans="1:4" x14ac:dyDescent="0.3">
      <c r="A279" s="4" t="s">
        <v>1000</v>
      </c>
      <c r="B279" s="4" t="s">
        <v>1021</v>
      </c>
      <c r="C279" s="4" t="s">
        <v>1057</v>
      </c>
      <c r="D279" s="18" t="str">
        <f t="shared" ref="D279:D310" si="11">B279&amp;", "&amp;C279&amp;", Honduras"</f>
        <v>VALLE, GOASCORAN, Honduras</v>
      </c>
    </row>
    <row r="280" spans="1:4" x14ac:dyDescent="0.3">
      <c r="A280" s="4" t="s">
        <v>1000</v>
      </c>
      <c r="B280" s="4" t="s">
        <v>1001</v>
      </c>
      <c r="C280" s="4" t="s">
        <v>1058</v>
      </c>
      <c r="D280" s="18" t="str">
        <f t="shared" si="11"/>
        <v>CHOLUTECA, PESPIRE, Honduras</v>
      </c>
    </row>
    <row r="281" spans="1:4" x14ac:dyDescent="0.3">
      <c r="A281" s="4" t="s">
        <v>1000</v>
      </c>
      <c r="B281" s="4" t="s">
        <v>1001</v>
      </c>
      <c r="C281" s="4" t="s">
        <v>1059</v>
      </c>
      <c r="D281" s="18" t="str">
        <f t="shared" si="11"/>
        <v>CHOLUTECA, OROCUINA, Honduras</v>
      </c>
    </row>
    <row r="282" spans="1:4" x14ac:dyDescent="0.3">
      <c r="A282" s="4" t="s">
        <v>42</v>
      </c>
      <c r="B282" s="4" t="s">
        <v>827</v>
      </c>
      <c r="C282" s="4" t="s">
        <v>1060</v>
      </c>
      <c r="D282" s="18" t="str">
        <f t="shared" si="11"/>
        <v>FRANCISCO MORAZAN, VILLA DE SAN FRANCISCO, Honduras</v>
      </c>
    </row>
  </sheetData>
  <autoFilter ref="A1:D282" xr:uid="{BDAF23C2-F756-4460-86D2-A43E29B0EB82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31B8-8CF3-4C4E-BF01-F8C35A096859}">
  <dimension ref="A1:E50"/>
  <sheetViews>
    <sheetView tabSelected="1" topLeftCell="A11" workbookViewId="0">
      <selection activeCell="C14" sqref="C14"/>
    </sheetView>
  </sheetViews>
  <sheetFormatPr baseColWidth="10" defaultColWidth="11.44140625" defaultRowHeight="14.4" x14ac:dyDescent="0.3"/>
  <cols>
    <col min="1" max="1" width="27.6640625" bestFit="1" customWidth="1"/>
    <col min="2" max="2" width="27.109375" customWidth="1"/>
    <col min="3" max="3" width="32.109375" bestFit="1" customWidth="1"/>
    <col min="4" max="4" width="62.33203125" bestFit="1" customWidth="1"/>
  </cols>
  <sheetData>
    <row r="1" spans="1:4" x14ac:dyDescent="0.3">
      <c r="A1" s="20" t="s">
        <v>480</v>
      </c>
      <c r="B1" s="20" t="s">
        <v>1061</v>
      </c>
      <c r="C1" s="20" t="s">
        <v>1062</v>
      </c>
    </row>
    <row r="2" spans="1:4" x14ac:dyDescent="0.3">
      <c r="A2" s="5" t="s">
        <v>1063</v>
      </c>
      <c r="B2" s="21" t="s">
        <v>1064</v>
      </c>
      <c r="C2" s="5" t="s">
        <v>1065</v>
      </c>
      <c r="D2" t="str">
        <f t="shared" ref="D2:D14" si="0">C2&amp;", "&amp;B2&amp;", Republica Dominicana"</f>
        <v>San Francisco de Macorís, Duarte, Republica Dominicana</v>
      </c>
    </row>
    <row r="3" spans="1:4" x14ac:dyDescent="0.3">
      <c r="A3" s="5" t="s">
        <v>1063</v>
      </c>
      <c r="B3" s="21" t="s">
        <v>1066</v>
      </c>
      <c r="C3" s="5" t="s">
        <v>1067</v>
      </c>
      <c r="D3" t="str">
        <f t="shared" si="0"/>
        <v>Moca, Espaillat, Republica Dominicana</v>
      </c>
    </row>
    <row r="4" spans="1:4" x14ac:dyDescent="0.3">
      <c r="A4" s="5" t="s">
        <v>1063</v>
      </c>
      <c r="B4" s="5" t="s">
        <v>1068</v>
      </c>
      <c r="C4" s="5" t="s">
        <v>1069</v>
      </c>
      <c r="D4" t="str">
        <f t="shared" si="0"/>
        <v>La Vega, La Veja, Republica Dominicana</v>
      </c>
    </row>
    <row r="5" spans="1:4" x14ac:dyDescent="0.3">
      <c r="A5" s="5" t="s">
        <v>1063</v>
      </c>
      <c r="B5" s="5" t="s">
        <v>1068</v>
      </c>
      <c r="C5" s="5" t="s">
        <v>1070</v>
      </c>
      <c r="D5" t="str">
        <f t="shared" si="0"/>
        <v>Constanza, La Veja, Republica Dominicana</v>
      </c>
    </row>
    <row r="6" spans="1:4" x14ac:dyDescent="0.3">
      <c r="A6" s="5" t="s">
        <v>1063</v>
      </c>
      <c r="B6" s="5" t="s">
        <v>1068</v>
      </c>
      <c r="C6" s="5" t="s">
        <v>1071</v>
      </c>
      <c r="D6" t="str">
        <f t="shared" si="0"/>
        <v>Jarabacoa, La Veja, Republica Dominicana</v>
      </c>
    </row>
    <row r="7" spans="1:4" x14ac:dyDescent="0.3">
      <c r="A7" s="5" t="s">
        <v>1063</v>
      </c>
      <c r="B7" s="21" t="s">
        <v>1072</v>
      </c>
      <c r="C7" s="5" t="s">
        <v>1073</v>
      </c>
      <c r="D7" t="str">
        <f t="shared" si="0"/>
        <v>Nagua, María Trinidad Sánchez, Republica Dominicana</v>
      </c>
    </row>
    <row r="8" spans="1:4" x14ac:dyDescent="0.3">
      <c r="A8" s="5" t="s">
        <v>1063</v>
      </c>
      <c r="B8" s="5" t="s">
        <v>1074</v>
      </c>
      <c r="C8" s="5" t="s">
        <v>1075</v>
      </c>
      <c r="D8" t="str">
        <f t="shared" si="0"/>
        <v>Bonao, Monseñor Nouel, Republica Dominicana</v>
      </c>
    </row>
    <row r="9" spans="1:4" x14ac:dyDescent="0.3">
      <c r="A9" s="5" t="s">
        <v>1063</v>
      </c>
      <c r="B9" s="5" t="s">
        <v>1074</v>
      </c>
      <c r="C9" s="5" t="s">
        <v>1076</v>
      </c>
      <c r="D9" t="str">
        <f t="shared" si="0"/>
        <v>Maimón, Monseñor Nouel, Republica Dominicana</v>
      </c>
    </row>
    <row r="10" spans="1:4" x14ac:dyDescent="0.3">
      <c r="A10" s="5" t="s">
        <v>1063</v>
      </c>
      <c r="B10" s="21" t="s">
        <v>1077</v>
      </c>
      <c r="C10" s="5" t="s">
        <v>1077</v>
      </c>
      <c r="D10" t="str">
        <f t="shared" si="0"/>
        <v>Puerto Plata, Puerto Plata, Republica Dominicana</v>
      </c>
    </row>
    <row r="11" spans="1:4" x14ac:dyDescent="0.3">
      <c r="A11" s="5" t="s">
        <v>1063</v>
      </c>
      <c r="B11" s="21" t="s">
        <v>1078</v>
      </c>
      <c r="C11" s="5" t="s">
        <v>1079</v>
      </c>
      <c r="D11" t="str">
        <f t="shared" si="0"/>
        <v>Cotuí, Sánchez Ramírez, Republica Dominicana</v>
      </c>
    </row>
    <row r="12" spans="1:4" x14ac:dyDescent="0.3">
      <c r="A12" s="5" t="s">
        <v>1063</v>
      </c>
      <c r="B12" s="5" t="s">
        <v>1080</v>
      </c>
      <c r="C12" s="5" t="s">
        <v>1081</v>
      </c>
      <c r="D12" t="str">
        <f t="shared" si="0"/>
        <v>San Ignacio de Sabaneta, Santiago Rodríguez, Republica Dominicana</v>
      </c>
    </row>
    <row r="13" spans="1:4" x14ac:dyDescent="0.3">
      <c r="A13" s="5" t="s">
        <v>1063</v>
      </c>
      <c r="B13" s="5" t="s">
        <v>1082</v>
      </c>
      <c r="C13" s="5" t="s">
        <v>1083</v>
      </c>
      <c r="D13" t="str">
        <f t="shared" si="0"/>
        <v>Mao, Valverde, Republica Dominicana</v>
      </c>
    </row>
    <row r="14" spans="1:4" x14ac:dyDescent="0.3">
      <c r="A14" s="5" t="s">
        <v>1063</v>
      </c>
      <c r="B14" s="5" t="s">
        <v>1082</v>
      </c>
      <c r="C14" s="5" t="s">
        <v>1084</v>
      </c>
      <c r="D14" t="str">
        <f t="shared" si="0"/>
        <v>Esperanza, Valverde, Republica Dominicana</v>
      </c>
    </row>
    <row r="15" spans="1:4" x14ac:dyDescent="0.3">
      <c r="A15" s="5" t="s">
        <v>1085</v>
      </c>
      <c r="B15" s="5" t="s">
        <v>1085</v>
      </c>
      <c r="C15" s="22" t="s">
        <v>1086</v>
      </c>
      <c r="D15" t="str">
        <f t="shared" ref="D15:D50" si="1">C15&amp;", "&amp;B15&amp;", Republica Dominicana"</f>
        <v>Bisonó, Santiago, Republica Dominicana</v>
      </c>
    </row>
    <row r="16" spans="1:4" x14ac:dyDescent="0.3">
      <c r="A16" s="5" t="s">
        <v>1085</v>
      </c>
      <c r="B16" s="5" t="s">
        <v>1085</v>
      </c>
      <c r="C16" s="22" t="s">
        <v>1087</v>
      </c>
      <c r="D16" t="str">
        <f t="shared" si="1"/>
        <v>Hato del Yaque (D.M.), Santiago, Republica Dominicana</v>
      </c>
    </row>
    <row r="17" spans="1:5" x14ac:dyDescent="0.3">
      <c r="A17" s="5" t="s">
        <v>1085</v>
      </c>
      <c r="B17" s="5" t="s">
        <v>1085</v>
      </c>
      <c r="C17" s="22" t="s">
        <v>1085</v>
      </c>
      <c r="D17" t="str">
        <f t="shared" si="1"/>
        <v>Santiago, Santiago, Republica Dominicana</v>
      </c>
      <c r="E17" s="18" t="s">
        <v>1088</v>
      </c>
    </row>
    <row r="18" spans="1:5" x14ac:dyDescent="0.3">
      <c r="A18" s="5" t="s">
        <v>1085</v>
      </c>
      <c r="B18" s="5" t="s">
        <v>1085</v>
      </c>
      <c r="C18" s="22" t="s">
        <v>1089</v>
      </c>
      <c r="D18" t="str">
        <f t="shared" si="1"/>
        <v>Tamboril, Santiago, Republica Dominicana</v>
      </c>
    </row>
    <row r="19" spans="1:5" x14ac:dyDescent="0.3">
      <c r="A19" s="5" t="s">
        <v>1090</v>
      </c>
      <c r="B19" s="5" t="s">
        <v>1091</v>
      </c>
      <c r="C19" s="5" t="s">
        <v>1092</v>
      </c>
      <c r="D19" t="str">
        <f t="shared" si="1"/>
        <v>Santo Domingo de Guzmán, Distrito Nacional, Republica Dominicana</v>
      </c>
    </row>
    <row r="20" spans="1:5" x14ac:dyDescent="0.3">
      <c r="A20" s="5" t="s">
        <v>1090</v>
      </c>
      <c r="B20" s="5" t="s">
        <v>448</v>
      </c>
      <c r="C20" s="5" t="s">
        <v>1093</v>
      </c>
      <c r="D20" t="str">
        <f t="shared" si="1"/>
        <v>Santo Domingo Este, Santo Domingo, Republica Dominicana</v>
      </c>
    </row>
    <row r="21" spans="1:5" x14ac:dyDescent="0.3">
      <c r="A21" s="5" t="s">
        <v>1090</v>
      </c>
      <c r="B21" s="5" t="s">
        <v>448</v>
      </c>
      <c r="C21" s="5" t="s">
        <v>1094</v>
      </c>
      <c r="D21" t="str">
        <f t="shared" si="1"/>
        <v>San Luis (D.M.), Santo Domingo, Republica Dominicana</v>
      </c>
    </row>
    <row r="22" spans="1:5" x14ac:dyDescent="0.3">
      <c r="A22" s="5" t="s">
        <v>1090</v>
      </c>
      <c r="B22" s="5" t="s">
        <v>448</v>
      </c>
      <c r="C22" s="5" t="s">
        <v>1095</v>
      </c>
      <c r="D22" t="str">
        <f t="shared" si="1"/>
        <v>Santo Domingo Oeste, Santo Domingo, Republica Dominicana</v>
      </c>
    </row>
    <row r="23" spans="1:5" x14ac:dyDescent="0.3">
      <c r="A23" s="5" t="s">
        <v>1090</v>
      </c>
      <c r="B23" s="5" t="s">
        <v>448</v>
      </c>
      <c r="C23" s="5" t="s">
        <v>1096</v>
      </c>
      <c r="D23" t="str">
        <f t="shared" si="1"/>
        <v>Santo Domingo Norte, Santo Domingo, Republica Dominicana</v>
      </c>
    </row>
    <row r="24" spans="1:5" x14ac:dyDescent="0.3">
      <c r="A24" s="5" t="s">
        <v>1090</v>
      </c>
      <c r="B24" s="5" t="s">
        <v>448</v>
      </c>
      <c r="C24" s="5" t="s">
        <v>1097</v>
      </c>
      <c r="D24" t="str">
        <f t="shared" si="1"/>
        <v>La Victoria (D.M.), Santo Domingo, Republica Dominicana</v>
      </c>
    </row>
    <row r="25" spans="1:5" x14ac:dyDescent="0.3">
      <c r="A25" s="5" t="s">
        <v>1090</v>
      </c>
      <c r="B25" s="5" t="s">
        <v>448</v>
      </c>
      <c r="C25" s="5" t="s">
        <v>1098</v>
      </c>
      <c r="D25" t="str">
        <f t="shared" si="1"/>
        <v>Boca Chica, Santo Domingo, Republica Dominicana</v>
      </c>
    </row>
    <row r="26" spans="1:5" x14ac:dyDescent="0.3">
      <c r="A26" s="5" t="s">
        <v>1090</v>
      </c>
      <c r="B26" s="5" t="s">
        <v>448</v>
      </c>
      <c r="C26" s="5" t="s">
        <v>1099</v>
      </c>
      <c r="D26" t="str">
        <f t="shared" si="1"/>
        <v>La Caleta (D.M.), Santo Domingo, Republica Dominicana</v>
      </c>
    </row>
    <row r="27" spans="1:5" x14ac:dyDescent="0.3">
      <c r="A27" s="5" t="s">
        <v>1090</v>
      </c>
      <c r="B27" s="5" t="s">
        <v>448</v>
      </c>
      <c r="C27" s="5" t="s">
        <v>1100</v>
      </c>
      <c r="D27" t="str">
        <f t="shared" si="1"/>
        <v>Los Alcarrizos, Santo Domingo, Republica Dominicana</v>
      </c>
    </row>
    <row r="28" spans="1:5" x14ac:dyDescent="0.3">
      <c r="A28" s="5" t="s">
        <v>1090</v>
      </c>
      <c r="B28" s="5" t="s">
        <v>448</v>
      </c>
      <c r="C28" s="5" t="s">
        <v>1101</v>
      </c>
      <c r="D28" t="str">
        <f t="shared" si="1"/>
        <v>Pantoja (D.M.), Santo Domingo, Republica Dominicana</v>
      </c>
    </row>
    <row r="29" spans="1:5" x14ac:dyDescent="0.3">
      <c r="A29" s="5" t="s">
        <v>1090</v>
      </c>
      <c r="B29" s="5" t="s">
        <v>448</v>
      </c>
      <c r="C29" s="5" t="s">
        <v>1102</v>
      </c>
      <c r="D29" t="str">
        <f t="shared" si="1"/>
        <v>Pedro Brand, Santo Domingo, Republica Dominicana</v>
      </c>
    </row>
    <row r="30" spans="1:5" x14ac:dyDescent="0.3">
      <c r="A30" s="5" t="s">
        <v>1090</v>
      </c>
      <c r="B30" s="5" t="s">
        <v>448</v>
      </c>
      <c r="C30" s="5" t="s">
        <v>1103</v>
      </c>
      <c r="D30" t="str">
        <f t="shared" si="1"/>
        <v>La Guáyiga (D.M.), Santo Domingo, Republica Dominicana</v>
      </c>
    </row>
    <row r="31" spans="1:5" x14ac:dyDescent="0.3">
      <c r="A31" s="5" t="s">
        <v>1104</v>
      </c>
      <c r="B31" s="5" t="s">
        <v>1105</v>
      </c>
      <c r="C31" s="5" t="s">
        <v>1106</v>
      </c>
      <c r="D31" t="str">
        <f t="shared" si="1"/>
        <v>Higüey, La Altagracia, Republica Dominicana</v>
      </c>
    </row>
    <row r="32" spans="1:5" x14ac:dyDescent="0.3">
      <c r="A32" s="5" t="s">
        <v>1104</v>
      </c>
      <c r="B32" s="5" t="s">
        <v>1105</v>
      </c>
      <c r="C32" s="5" t="s">
        <v>1107</v>
      </c>
      <c r="D32" t="str">
        <f t="shared" si="1"/>
        <v>Verón Punta Cana (D.M.), La Altagracia, Republica Dominicana</v>
      </c>
    </row>
    <row r="33" spans="1:4" x14ac:dyDescent="0.3">
      <c r="A33" s="5" t="s">
        <v>1104</v>
      </c>
      <c r="B33" s="5" t="s">
        <v>1108</v>
      </c>
      <c r="C33" s="5" t="s">
        <v>1108</v>
      </c>
      <c r="D33" t="str">
        <f t="shared" si="1"/>
        <v>La Romana, La Romana, Republica Dominicana</v>
      </c>
    </row>
    <row r="34" spans="1:4" x14ac:dyDescent="0.3">
      <c r="A34" s="5" t="s">
        <v>1104</v>
      </c>
      <c r="B34" s="5" t="s">
        <v>1108</v>
      </c>
      <c r="C34" s="5" t="s">
        <v>1109</v>
      </c>
      <c r="D34" t="str">
        <f t="shared" si="1"/>
        <v>Villa Hermosa, La Romana, Republica Dominicana</v>
      </c>
    </row>
    <row r="35" spans="1:4" x14ac:dyDescent="0.3">
      <c r="A35" s="5" t="s">
        <v>1104</v>
      </c>
      <c r="B35" s="5" t="s">
        <v>1110</v>
      </c>
      <c r="C35" s="5" t="s">
        <v>1110</v>
      </c>
      <c r="D35" t="str">
        <f t="shared" si="1"/>
        <v>San Pedro de Macorís, San Pedro de Macorís, Republica Dominicana</v>
      </c>
    </row>
    <row r="36" spans="1:4" x14ac:dyDescent="0.3">
      <c r="A36" s="5" t="s">
        <v>1104</v>
      </c>
      <c r="B36" s="5" t="s">
        <v>1110</v>
      </c>
      <c r="C36" s="5" t="s">
        <v>1111</v>
      </c>
      <c r="D36" t="str">
        <f t="shared" si="1"/>
        <v>Consuelo, San Pedro de Macorís, Republica Dominicana</v>
      </c>
    </row>
    <row r="37" spans="1:4" x14ac:dyDescent="0.3">
      <c r="A37" s="5" t="s">
        <v>1104</v>
      </c>
      <c r="B37" s="5" t="s">
        <v>1110</v>
      </c>
      <c r="C37" s="5" t="s">
        <v>1112</v>
      </c>
      <c r="D37" t="str">
        <f t="shared" si="1"/>
        <v>Quisqueya, San Pedro de Macorís, Republica Dominicana</v>
      </c>
    </row>
    <row r="38" spans="1:4" x14ac:dyDescent="0.3">
      <c r="A38" s="5" t="s">
        <v>1104</v>
      </c>
      <c r="B38" s="5" t="s">
        <v>1113</v>
      </c>
      <c r="C38" s="5" t="s">
        <v>1113</v>
      </c>
      <c r="D38" t="str">
        <f t="shared" si="1"/>
        <v>Monte Plata, Monte Plata, Republica Dominicana</v>
      </c>
    </row>
    <row r="39" spans="1:4" x14ac:dyDescent="0.3">
      <c r="A39" s="5" t="s">
        <v>1104</v>
      </c>
      <c r="B39" s="5" t="s">
        <v>1113</v>
      </c>
      <c r="C39" s="5" t="s">
        <v>1114</v>
      </c>
      <c r="D39" t="str">
        <f t="shared" si="1"/>
        <v>Bayaguana, Monte Plata, Republica Dominicana</v>
      </c>
    </row>
    <row r="40" spans="1:4" x14ac:dyDescent="0.3">
      <c r="A40" s="5" t="s">
        <v>1104</v>
      </c>
      <c r="B40" s="5" t="s">
        <v>1113</v>
      </c>
      <c r="C40" s="5" t="s">
        <v>1115</v>
      </c>
      <c r="D40" t="str">
        <f t="shared" si="1"/>
        <v>Sabana Grande de Boyá, Monte Plata, Republica Dominicana</v>
      </c>
    </row>
    <row r="41" spans="1:4" x14ac:dyDescent="0.3">
      <c r="A41" s="5" t="s">
        <v>1116</v>
      </c>
      <c r="B41" s="5" t="s">
        <v>1117</v>
      </c>
      <c r="C41" s="22" t="s">
        <v>1117</v>
      </c>
      <c r="D41" t="str">
        <f t="shared" si="1"/>
        <v>Azua, Azua, Republica Dominicana</v>
      </c>
    </row>
    <row r="42" spans="1:4" x14ac:dyDescent="0.3">
      <c r="A42" s="5" t="s">
        <v>1116</v>
      </c>
      <c r="B42" s="5" t="s">
        <v>1118</v>
      </c>
      <c r="C42" s="22" t="s">
        <v>1119</v>
      </c>
      <c r="D42" t="str">
        <f t="shared" si="1"/>
        <v>Baní, Peravia, Republica Dominicana</v>
      </c>
    </row>
    <row r="43" spans="1:4" x14ac:dyDescent="0.3">
      <c r="A43" s="5" t="s">
        <v>1116</v>
      </c>
      <c r="B43" s="5" t="s">
        <v>1120</v>
      </c>
      <c r="C43" s="22" t="s">
        <v>1120</v>
      </c>
      <c r="D43" t="str">
        <f t="shared" si="1"/>
        <v>San Cristóbal, San Cristóbal, Republica Dominicana</v>
      </c>
    </row>
    <row r="44" spans="1:4" x14ac:dyDescent="0.3">
      <c r="A44" s="5" t="s">
        <v>1116</v>
      </c>
      <c r="B44" s="5" t="s">
        <v>1120</v>
      </c>
      <c r="C44" s="22" t="s">
        <v>1121</v>
      </c>
      <c r="D44" t="str">
        <f t="shared" si="1"/>
        <v>Bajos de Haina, San Cristóbal, Republica Dominicana</v>
      </c>
    </row>
    <row r="45" spans="1:4" x14ac:dyDescent="0.3">
      <c r="A45" s="5" t="s">
        <v>1116</v>
      </c>
      <c r="B45" s="5" t="s">
        <v>1120</v>
      </c>
      <c r="C45" s="22" t="s">
        <v>1122</v>
      </c>
      <c r="D45" t="str">
        <f t="shared" si="1"/>
        <v>Villa Altagracia, San Cristóbal, Republica Dominicana</v>
      </c>
    </row>
    <row r="46" spans="1:4" x14ac:dyDescent="0.3">
      <c r="A46" s="5" t="s">
        <v>1116</v>
      </c>
      <c r="B46" s="5" t="s">
        <v>1123</v>
      </c>
      <c r="C46" s="22" t="s">
        <v>1123</v>
      </c>
      <c r="D46" t="str">
        <f t="shared" si="1"/>
        <v>San José de Ocoa, San José de Ocoa, Republica Dominicana</v>
      </c>
    </row>
    <row r="47" spans="1:4" x14ac:dyDescent="0.3">
      <c r="A47" s="5" t="s">
        <v>1116</v>
      </c>
      <c r="B47" s="5" t="s">
        <v>1124</v>
      </c>
      <c r="C47" s="22" t="s">
        <v>1125</v>
      </c>
      <c r="D47" t="str">
        <f t="shared" si="1"/>
        <v>Barahona, Barohona, Republica Dominicana</v>
      </c>
    </row>
    <row r="48" spans="1:4" x14ac:dyDescent="0.3">
      <c r="A48" s="5" t="s">
        <v>1116</v>
      </c>
      <c r="B48" s="5" t="s">
        <v>1124</v>
      </c>
      <c r="C48" s="22" t="s">
        <v>1126</v>
      </c>
      <c r="D48" s="18" t="str">
        <f t="shared" si="1"/>
        <v>Villa Central (D.M.), Barohona, Republica Dominicana</v>
      </c>
    </row>
    <row r="49" spans="1:5" x14ac:dyDescent="0.3">
      <c r="A49" s="5" t="s">
        <v>1116</v>
      </c>
      <c r="B49" s="5" t="s">
        <v>1127</v>
      </c>
      <c r="C49" s="22" t="s">
        <v>1127</v>
      </c>
      <c r="D49" t="str">
        <f t="shared" si="1"/>
        <v>San Juan, San Juan, Republica Dominicana</v>
      </c>
      <c r="E49" t="s">
        <v>1128</v>
      </c>
    </row>
    <row r="50" spans="1:5" x14ac:dyDescent="0.3">
      <c r="A50" s="5" t="s">
        <v>1116</v>
      </c>
      <c r="B50" s="5" t="s">
        <v>1127</v>
      </c>
      <c r="C50" s="22" t="s">
        <v>1129</v>
      </c>
      <c r="D50" t="str">
        <f t="shared" si="1"/>
        <v>Las Matas de Farfán, San Juan, Republica Dominicana</v>
      </c>
    </row>
  </sheetData>
  <autoFilter ref="A1:D50" xr:uid="{74C314E8-6A9F-4948-B6E1-EF33FACCB10B}">
    <sortState xmlns:xlrd2="http://schemas.microsoft.com/office/spreadsheetml/2017/richdata2" ref="A2:D50">
      <sortCondition ref="B1:B50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Regiones Panama</vt:lpstr>
      <vt:lpstr>Regiones Guatemala</vt:lpstr>
      <vt:lpstr>Regiones Costa Rica</vt:lpstr>
      <vt:lpstr>Regiones El Salvador</vt:lpstr>
      <vt:lpstr>Regiones Nicaragua</vt:lpstr>
      <vt:lpstr>Regiones Honduras</vt:lpstr>
      <vt:lpstr>Regiones 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Acosta, Antonio (MBBAJ fld)</dc:creator>
  <cp:keywords/>
  <dc:description/>
  <cp:lastModifiedBy>BOA Analytics</cp:lastModifiedBy>
  <cp:revision/>
  <dcterms:created xsi:type="dcterms:W3CDTF">2023-07-26T16:52:27Z</dcterms:created>
  <dcterms:modified xsi:type="dcterms:W3CDTF">2026-07-09T15:30:41Z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2023-07-26T17:23:42Z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5f2924c6-50f5-488c-960f-c33b3f7e5b35</vt:lpwstr>
  </property>
  <property fmtid="{D5CDD505-2E9C-101B-9397-08002B2CF9AE}" pid="8" name="MSIP_Label_3741da7a-79c1-417c-b408-16c0bfe99fca_ContentBits">
    <vt:lpwstr>0</vt:lpwstr>
  </property>
</Properties>
</file>